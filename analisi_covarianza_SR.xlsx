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SR single micro\"/>
    </mc:Choice>
  </mc:AlternateContent>
  <xr:revisionPtr revIDLastSave="0" documentId="13_ncr:1_{5F2DA74F-F254-4CE2-B446-231EB4F9F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  <sheet name="NT_composizione_chimica" sheetId="5" r:id="rId2"/>
    <sheet name="ANOVA_mck" sheetId="1" r:id="rId3"/>
    <sheet name="ANCOVA" sheetId="2" r:id="rId4"/>
    <sheet name="ANOVA_ripuli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20" i="3"/>
  <c r="G18" i="3"/>
  <c r="G17" i="2"/>
  <c r="G18" i="2"/>
  <c r="G19" i="2"/>
  <c r="G20" i="2"/>
  <c r="G21" i="2"/>
  <c r="G22" i="2"/>
  <c r="G16" i="2"/>
  <c r="G10" i="3"/>
  <c r="G9" i="3"/>
  <c r="G8" i="3"/>
  <c r="G10" i="2"/>
  <c r="G9" i="2"/>
  <c r="G8" i="2"/>
  <c r="G7" i="2"/>
  <c r="G6" i="2"/>
  <c r="G5" i="2"/>
  <c r="G7" i="1"/>
  <c r="G6" i="1"/>
  <c r="G5" i="1"/>
  <c r="L11" i="5"/>
  <c r="K11" i="5"/>
  <c r="J11" i="5"/>
  <c r="L10" i="5"/>
  <c r="K10" i="5"/>
  <c r="J10" i="5"/>
  <c r="L9" i="5"/>
  <c r="K9" i="5"/>
  <c r="J9" i="5"/>
  <c r="L8" i="5"/>
  <c r="K8" i="5"/>
  <c r="J8" i="5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<sst xmlns="http://schemas.openxmlformats.org/spreadsheetml/2006/main" count="265" uniqueCount="51">
  <si>
    <t>Df</t>
  </si>
  <si>
    <t>Sum Sq</t>
  </si>
  <si>
    <t>Mean Sq</t>
  </si>
  <si>
    <t>F value</t>
  </si>
  <si>
    <t>Pr(&gt;F)</t>
  </si>
  <si>
    <t>Micro</t>
  </si>
  <si>
    <t>Trial</t>
  </si>
  <si>
    <t>Micro:Trial</t>
  </si>
  <si>
    <t>Acetic acid</t>
  </si>
  <si>
    <t>Ethanol</t>
  </si>
  <si>
    <t>Glucose + fructose</t>
  </si>
  <si>
    <t>Micro: Trial</t>
  </si>
  <si>
    <t>Varianza Spiegata</t>
  </si>
  <si>
    <t>aov(arc_severity ~ Micro*Trial)</t>
  </si>
  <si>
    <t>aov(arc_severity ~ Micro*Trial + Acetic + EtOH + Glucose_and_fructose)</t>
  </si>
  <si>
    <t>aov(arc_severity_ripulito ~ Micro*Trial)</t>
  </si>
  <si>
    <t>cov_model &lt;-  aov(arc_severity ~ Acetic + EtOH + Glucose_and_fructose)</t>
  </si>
  <si>
    <t>Replica</t>
  </si>
  <si>
    <t>McKinney</t>
  </si>
  <si>
    <t>arc_mck</t>
  </si>
  <si>
    <t>Acetic</t>
  </si>
  <si>
    <t>G+F</t>
  </si>
  <si>
    <t>EtOH</t>
  </si>
  <si>
    <t>pH</t>
  </si>
  <si>
    <t>Temperatura</t>
  </si>
  <si>
    <t>A. syzygii</t>
  </si>
  <si>
    <t>C. zemplinina</t>
  </si>
  <si>
    <t>G. oxydans</t>
  </si>
  <si>
    <t>H. uvarum</t>
  </si>
  <si>
    <t>M. pulcherrima</t>
  </si>
  <si>
    <t>P. occidentalis</t>
  </si>
  <si>
    <t>P. terricola</t>
  </si>
  <si>
    <t>S. vini</t>
  </si>
  <si>
    <t>T. delbrueckii</t>
  </si>
  <si>
    <t>Z. bailii</t>
  </si>
  <si>
    <t>Z. hellenicus</t>
  </si>
  <si>
    <t>NT + brodo coltura lieviti</t>
  </si>
  <si>
    <t>NT + brodo coltura batteri</t>
  </si>
  <si>
    <t>Acetico</t>
  </si>
  <si>
    <t>Glucosio + fruttosio</t>
  </si>
  <si>
    <t>Etanolo</t>
  </si>
  <si>
    <t>Trial 1 (Italia)</t>
  </si>
  <si>
    <t>Trial 2 (Italia)</t>
  </si>
  <si>
    <t>NT (bacche non ferite)</t>
  </si>
  <si>
    <t>Trial 3 (Jack's Salute)</t>
  </si>
  <si>
    <t>Trial 4 (Allison)</t>
  </si>
  <si>
    <t>Temperature</t>
  </si>
  <si>
    <t>aov(arc_severity ~ Micro*Trial + Acetic + EtOH + Glucose_and_fructose + Temperatura)</t>
  </si>
  <si>
    <t>arc_severity_ripulito &lt;- residuals(cov_model) + mean(arc_severity)</t>
  </si>
  <si>
    <t>cov_model &lt;-  aov(arc_severity ~ Acetic + EtOH + Glucose_and_fructose + Temperatura)</t>
  </si>
  <si>
    <t>arc_mck_ripulito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</si>
</sst>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0" fontId="2" fillId="0" borderId="0" xfId="0" applyFont="1"/>
    <xf numFmtId="2" fontId="3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1" fontId="1" fillId="0" borderId="0" xfId="0" applyNumberFormat="1" applyFont="1"/>
    <xf numFmtId="0" fontId="5" fillId="0" borderId="0" xfId="0" applyFont="1"/>
    <xf numFmtId="164" fontId="0" fillId="0" borderId="0" xfId="0" applyNumberFormat="1"/>
    <xf numFmtId="11" fontId="0" fillId="0" borderId="0" xfId="0" applyNumberFormat="1"/>
    <xf numFmtId="0" fontId="6" fillId="0" borderId="0" xfId="0" applyFont="1" applyAlignment="1">
      <alignment horizontal="left"/>
    </xf>
    <xf numFmtId="1" fontId="3" fillId="0" borderId="1" xfId="0" applyNumberFormat="1" applyFont="1" applyBorder="1"/>
    <xf numFmtId="0" fontId="0" fillId="0" borderId="1" xfId="0" applyBorder="1"/>
    <xf numFmtId="1" fontId="1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topLeftCell="A130" workbookViewId="0">
      <selection activeCell="K155" sqref="K155"/>
    </sheetView>
  </sheetViews>
  <sheetFormatPr defaultColWidth="11.5546875" defaultRowHeight="14.4" x14ac:dyDescent="0.3"/>
  <cols>
    <col min="2" max="2" width="14.5546875" customWidth="1"/>
    <col min="4" max="4" width="12" customWidth="1"/>
    <col min="10" max="10" width="11.5546875" customWidth="1"/>
    <col min="11" max="11" width="15.21875" bestFit="1" customWidth="1"/>
  </cols>
  <sheetData>
    <row r="1" spans="1:11" x14ac:dyDescent="0.3">
      <c r="A1" t="s">
        <v>6</v>
      </c>
      <c r="B1" t="s">
        <v>5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s="2" t="s">
        <v>23</v>
      </c>
      <c r="J1" t="s">
        <v>24</v>
      </c>
      <c r="K1" s="8" t="s">
        <v>50</v>
      </c>
    </row>
    <row r="2" spans="1:11" x14ac:dyDescent="0.3">
      <c r="A2">
        <v>1</v>
      </c>
      <c r="B2" t="s">
        <v>25</v>
      </c>
      <c r="C2">
        <v>1</v>
      </c>
      <c r="D2" s="1">
        <v>0</v>
      </c>
      <c r="E2" s="1">
        <f t="shared" ref="E2:E65" si="0">ASIN(SQRT(D2/100))*180/PI()</f>
        <v>0</v>
      </c>
      <c r="F2">
        <v>0.05</v>
      </c>
      <c r="G2">
        <v>154</v>
      </c>
      <c r="H2">
        <v>0.03</v>
      </c>
      <c r="I2" s="2">
        <v>3.74</v>
      </c>
      <c r="J2">
        <v>35</v>
      </c>
      <c r="K2" s="12">
        <v>4.6292306208381042</v>
      </c>
    </row>
    <row r="3" spans="1:11" x14ac:dyDescent="0.3">
      <c r="A3">
        <v>1</v>
      </c>
      <c r="B3" t="s">
        <v>25</v>
      </c>
      <c r="C3">
        <v>2</v>
      </c>
      <c r="D3" s="1">
        <v>5</v>
      </c>
      <c r="E3" s="1">
        <f t="shared" si="0"/>
        <v>12.920966381583565</v>
      </c>
      <c r="F3">
        <v>0.05</v>
      </c>
      <c r="G3">
        <v>158</v>
      </c>
      <c r="H3">
        <v>0.03</v>
      </c>
      <c r="I3" s="2">
        <v>3.79</v>
      </c>
      <c r="J3">
        <v>35</v>
      </c>
      <c r="K3" s="12">
        <v>17.876421116953029</v>
      </c>
    </row>
    <row r="4" spans="1:11" x14ac:dyDescent="0.3">
      <c r="A4">
        <v>1</v>
      </c>
      <c r="B4" t="s">
        <v>25</v>
      </c>
      <c r="C4">
        <v>3</v>
      </c>
      <c r="D4" s="1">
        <v>0</v>
      </c>
      <c r="E4" s="1">
        <f t="shared" si="0"/>
        <v>0</v>
      </c>
      <c r="F4">
        <v>0.05</v>
      </c>
      <c r="G4">
        <v>194</v>
      </c>
      <c r="H4">
        <v>0.03</v>
      </c>
      <c r="I4" s="2">
        <v>3.78</v>
      </c>
      <c r="J4">
        <v>35</v>
      </c>
      <c r="K4" s="12">
        <v>7.8914717661565632</v>
      </c>
    </row>
    <row r="5" spans="1:11" x14ac:dyDescent="0.3">
      <c r="A5">
        <v>1</v>
      </c>
      <c r="B5" t="s">
        <v>25</v>
      </c>
      <c r="C5">
        <v>4</v>
      </c>
      <c r="D5" s="1">
        <v>5</v>
      </c>
      <c r="E5" s="1">
        <f t="shared" si="0"/>
        <v>12.920966381583565</v>
      </c>
      <c r="F5">
        <v>0.05</v>
      </c>
      <c r="G5">
        <v>170</v>
      </c>
      <c r="H5">
        <v>0.03</v>
      </c>
      <c r="I5" s="2">
        <v>3.9</v>
      </c>
      <c r="J5">
        <v>35</v>
      </c>
      <c r="K5" s="12">
        <v>18.85509346054879</v>
      </c>
    </row>
    <row r="6" spans="1:11" x14ac:dyDescent="0.3">
      <c r="A6">
        <v>2</v>
      </c>
      <c r="B6" t="s">
        <v>25</v>
      </c>
      <c r="C6">
        <v>1</v>
      </c>
      <c r="D6" s="1">
        <v>40</v>
      </c>
      <c r="E6" s="1">
        <f t="shared" si="0"/>
        <v>39.231520483592263</v>
      </c>
      <c r="F6">
        <v>0.14000000000000001</v>
      </c>
      <c r="G6">
        <v>161</v>
      </c>
      <c r="H6">
        <v>0.2</v>
      </c>
      <c r="I6" s="2">
        <v>3.71</v>
      </c>
      <c r="J6">
        <v>35</v>
      </c>
      <c r="K6" s="12">
        <v>43.028679379498783</v>
      </c>
    </row>
    <row r="7" spans="1:11" x14ac:dyDescent="0.3">
      <c r="A7">
        <v>2</v>
      </c>
      <c r="B7" t="s">
        <v>25</v>
      </c>
      <c r="C7">
        <v>2</v>
      </c>
      <c r="D7" s="1">
        <v>10</v>
      </c>
      <c r="E7" s="1">
        <f t="shared" si="0"/>
        <v>18.434948822922014</v>
      </c>
      <c r="F7">
        <v>0.1</v>
      </c>
      <c r="G7">
        <v>164</v>
      </c>
      <c r="H7">
        <v>0.16</v>
      </c>
      <c r="I7" s="2">
        <v>3.9</v>
      </c>
      <c r="J7">
        <v>35</v>
      </c>
      <c r="K7" s="12">
        <v>22.978300528816149</v>
      </c>
    </row>
    <row r="8" spans="1:11" x14ac:dyDescent="0.3">
      <c r="A8">
        <v>2</v>
      </c>
      <c r="B8" t="s">
        <v>25</v>
      </c>
      <c r="C8">
        <v>3</v>
      </c>
      <c r="D8" s="1">
        <v>5</v>
      </c>
      <c r="E8" s="1">
        <f t="shared" si="0"/>
        <v>12.920966381583565</v>
      </c>
      <c r="F8">
        <v>0.05</v>
      </c>
      <c r="G8">
        <v>170</v>
      </c>
      <c r="H8">
        <v>0.05</v>
      </c>
      <c r="I8" s="2">
        <v>3.63</v>
      </c>
      <c r="J8">
        <v>35</v>
      </c>
      <c r="K8" s="12">
        <v>18.78646013650819</v>
      </c>
    </row>
    <row r="9" spans="1:11" x14ac:dyDescent="0.3">
      <c r="A9">
        <v>2</v>
      </c>
      <c r="B9" t="s">
        <v>25</v>
      </c>
      <c r="C9">
        <v>4</v>
      </c>
      <c r="D9" s="1">
        <v>15</v>
      </c>
      <c r="E9" s="1">
        <f t="shared" si="0"/>
        <v>22.786497999597149</v>
      </c>
      <c r="F9">
        <v>0.11</v>
      </c>
      <c r="G9">
        <v>154</v>
      </c>
      <c r="H9">
        <v>0.06</v>
      </c>
      <c r="I9" s="2">
        <v>3.71</v>
      </c>
      <c r="J9">
        <v>35</v>
      </c>
      <c r="K9" s="12">
        <v>26.766391520362721</v>
      </c>
    </row>
    <row r="10" spans="1:11" x14ac:dyDescent="0.3">
      <c r="A10">
        <v>3</v>
      </c>
      <c r="B10" t="s">
        <v>25</v>
      </c>
      <c r="C10">
        <v>1</v>
      </c>
      <c r="D10" s="1">
        <v>35</v>
      </c>
      <c r="E10" s="1">
        <f t="shared" si="0"/>
        <v>36.271198438138953</v>
      </c>
      <c r="F10">
        <v>0.54</v>
      </c>
      <c r="G10">
        <v>173</v>
      </c>
      <c r="H10">
        <v>0</v>
      </c>
      <c r="I10" s="2">
        <v>3.27</v>
      </c>
      <c r="J10">
        <v>23.75</v>
      </c>
      <c r="K10" s="12">
        <v>41.674634863916523</v>
      </c>
    </row>
    <row r="11" spans="1:11" x14ac:dyDescent="0.3">
      <c r="A11">
        <v>3</v>
      </c>
      <c r="B11" t="s">
        <v>25</v>
      </c>
      <c r="C11">
        <v>2</v>
      </c>
      <c r="D11" s="1">
        <v>41.666666666666671</v>
      </c>
      <c r="E11" s="1">
        <f t="shared" si="0"/>
        <v>40.202965886569778</v>
      </c>
      <c r="F11">
        <v>0.6</v>
      </c>
      <c r="G11">
        <v>193.5</v>
      </c>
      <c r="H11">
        <v>0</v>
      </c>
      <c r="I11" s="2">
        <v>3.42</v>
      </c>
      <c r="J11">
        <v>23.75</v>
      </c>
      <c r="K11" s="12">
        <v>46.731913785312088</v>
      </c>
    </row>
    <row r="12" spans="1:11" x14ac:dyDescent="0.3">
      <c r="A12">
        <v>3</v>
      </c>
      <c r="B12" t="s">
        <v>25</v>
      </c>
      <c r="C12">
        <v>3</v>
      </c>
      <c r="D12" s="1">
        <v>36.538461538461533</v>
      </c>
      <c r="E12" s="1">
        <f t="shared" si="0"/>
        <v>37.190750862175719</v>
      </c>
      <c r="F12">
        <v>0.65</v>
      </c>
      <c r="G12">
        <v>179.4</v>
      </c>
      <c r="H12">
        <v>0</v>
      </c>
      <c r="I12" s="2">
        <v>3.25</v>
      </c>
      <c r="J12">
        <v>23.75</v>
      </c>
      <c r="K12" s="12">
        <v>42.1144361621838</v>
      </c>
    </row>
    <row r="13" spans="1:11" x14ac:dyDescent="0.3">
      <c r="A13">
        <v>4</v>
      </c>
      <c r="B13" t="s">
        <v>25</v>
      </c>
      <c r="C13">
        <v>1</v>
      </c>
      <c r="D13" s="1">
        <v>42.5</v>
      </c>
      <c r="E13" s="1">
        <f t="shared" si="0"/>
        <v>40.686536720660683</v>
      </c>
      <c r="F13">
        <v>0.42</v>
      </c>
      <c r="G13">
        <v>201.8</v>
      </c>
      <c r="H13">
        <v>1.51</v>
      </c>
      <c r="I13" s="2">
        <v>4.54</v>
      </c>
      <c r="J13">
        <v>23.75</v>
      </c>
      <c r="K13" s="12">
        <v>44.349745034024558</v>
      </c>
    </row>
    <row r="14" spans="1:11" x14ac:dyDescent="0.3">
      <c r="A14">
        <v>4</v>
      </c>
      <c r="B14" t="s">
        <v>25</v>
      </c>
      <c r="C14">
        <v>2</v>
      </c>
      <c r="D14" s="1">
        <v>45.833333333333329</v>
      </c>
      <c r="E14" s="1">
        <f t="shared" si="0"/>
        <v>42.609904076400426</v>
      </c>
      <c r="F14">
        <v>0.59</v>
      </c>
      <c r="G14">
        <v>185.1</v>
      </c>
      <c r="H14">
        <v>1.47</v>
      </c>
      <c r="I14" s="2">
        <v>3.52</v>
      </c>
      <c r="J14">
        <v>23.75</v>
      </c>
      <c r="K14" s="12">
        <v>43.50029653664317</v>
      </c>
    </row>
    <row r="15" spans="1:11" x14ac:dyDescent="0.3">
      <c r="A15">
        <v>4</v>
      </c>
      <c r="B15" t="s">
        <v>25</v>
      </c>
      <c r="C15">
        <v>3</v>
      </c>
      <c r="D15" s="1">
        <v>52.272727272727273</v>
      </c>
      <c r="E15" s="1">
        <f t="shared" si="0"/>
        <v>46.302625632528645</v>
      </c>
      <c r="F15">
        <v>0.59</v>
      </c>
      <c r="G15">
        <v>164.6</v>
      </c>
      <c r="H15">
        <v>1.37</v>
      </c>
      <c r="I15" s="2">
        <v>3.41</v>
      </c>
      <c r="J15">
        <v>23.75</v>
      </c>
      <c r="K15" s="12">
        <v>45.864286125998483</v>
      </c>
    </row>
    <row r="16" spans="1:11" x14ac:dyDescent="0.3">
      <c r="A16">
        <v>1</v>
      </c>
      <c r="B16" t="s">
        <v>26</v>
      </c>
      <c r="C16">
        <v>1</v>
      </c>
      <c r="D16" s="1">
        <v>55.000000000000007</v>
      </c>
      <c r="E16" s="1">
        <f t="shared" si="0"/>
        <v>47.869585238633384</v>
      </c>
      <c r="F16">
        <v>1.19</v>
      </c>
      <c r="G16">
        <v>192</v>
      </c>
      <c r="H16">
        <v>0.93</v>
      </c>
      <c r="I16" s="2">
        <v>3.67</v>
      </c>
      <c r="J16">
        <v>30</v>
      </c>
      <c r="K16" s="12">
        <v>43.720913624348121</v>
      </c>
    </row>
    <row r="17" spans="1:11" x14ac:dyDescent="0.3">
      <c r="A17">
        <v>1</v>
      </c>
      <c r="B17" t="s">
        <v>26</v>
      </c>
      <c r="C17">
        <v>2</v>
      </c>
      <c r="D17" s="1">
        <v>50</v>
      </c>
      <c r="E17" s="1">
        <f t="shared" si="0"/>
        <v>45.000000000000007</v>
      </c>
      <c r="F17">
        <v>1.1299999999999999</v>
      </c>
      <c r="G17">
        <v>194</v>
      </c>
      <c r="H17">
        <v>1.5</v>
      </c>
      <c r="I17" s="2">
        <v>3.51</v>
      </c>
      <c r="J17">
        <v>30</v>
      </c>
      <c r="K17" s="12">
        <v>39.604777821834638</v>
      </c>
    </row>
    <row r="18" spans="1:11" x14ac:dyDescent="0.3">
      <c r="A18">
        <v>1</v>
      </c>
      <c r="B18" t="s">
        <v>26</v>
      </c>
      <c r="C18">
        <v>3</v>
      </c>
      <c r="D18" s="1">
        <v>50</v>
      </c>
      <c r="E18" s="1">
        <f t="shared" si="0"/>
        <v>45.000000000000007</v>
      </c>
      <c r="F18">
        <v>0.82</v>
      </c>
      <c r="G18">
        <v>191</v>
      </c>
      <c r="H18">
        <v>0.61</v>
      </c>
      <c r="I18" s="2">
        <v>3.5</v>
      </c>
      <c r="J18">
        <v>30</v>
      </c>
      <c r="K18" s="12">
        <v>45.237292744800463</v>
      </c>
    </row>
    <row r="19" spans="1:11" x14ac:dyDescent="0.3">
      <c r="A19">
        <v>1</v>
      </c>
      <c r="B19" t="s">
        <v>26</v>
      </c>
      <c r="C19">
        <v>4</v>
      </c>
      <c r="D19" s="1">
        <v>55.000000000000007</v>
      </c>
      <c r="E19" s="1">
        <f t="shared" si="0"/>
        <v>47.869585238633384</v>
      </c>
      <c r="F19">
        <v>2.09</v>
      </c>
      <c r="G19">
        <v>172</v>
      </c>
      <c r="H19">
        <v>0.93</v>
      </c>
      <c r="I19" s="2">
        <v>3.44</v>
      </c>
      <c r="J19">
        <v>30</v>
      </c>
      <c r="K19" s="12">
        <v>33.893986341520822</v>
      </c>
    </row>
    <row r="20" spans="1:11" x14ac:dyDescent="0.3">
      <c r="A20">
        <v>2</v>
      </c>
      <c r="B20" t="s">
        <v>26</v>
      </c>
      <c r="C20">
        <v>1</v>
      </c>
      <c r="D20" s="1">
        <v>65</v>
      </c>
      <c r="E20" s="1">
        <f t="shared" si="0"/>
        <v>53.728801561861061</v>
      </c>
      <c r="F20">
        <v>2.12</v>
      </c>
      <c r="G20">
        <v>152</v>
      </c>
      <c r="H20">
        <v>1.4</v>
      </c>
      <c r="I20" s="2">
        <v>3.95</v>
      </c>
      <c r="J20">
        <v>30</v>
      </c>
      <c r="K20" s="12">
        <v>36.236005420129239</v>
      </c>
    </row>
    <row r="21" spans="1:11" x14ac:dyDescent="0.3">
      <c r="A21">
        <v>2</v>
      </c>
      <c r="B21" t="s">
        <v>26</v>
      </c>
      <c r="C21">
        <v>2</v>
      </c>
      <c r="D21" s="1">
        <v>75</v>
      </c>
      <c r="E21" s="1">
        <f t="shared" si="0"/>
        <v>59.999999999999993</v>
      </c>
      <c r="F21">
        <v>1.81</v>
      </c>
      <c r="G21">
        <v>144</v>
      </c>
      <c r="H21">
        <v>1.26</v>
      </c>
      <c r="I21" s="2">
        <v>4.0599999999999996</v>
      </c>
      <c r="J21">
        <v>30</v>
      </c>
      <c r="K21" s="12">
        <v>45.158188986546442</v>
      </c>
    </row>
    <row r="22" spans="1:11" x14ac:dyDescent="0.3">
      <c r="A22">
        <v>2</v>
      </c>
      <c r="B22" t="s">
        <v>26</v>
      </c>
      <c r="C22">
        <v>3</v>
      </c>
      <c r="D22" s="1">
        <v>65</v>
      </c>
      <c r="E22" s="1">
        <f t="shared" si="0"/>
        <v>53.728801561861061</v>
      </c>
      <c r="F22">
        <v>2.1</v>
      </c>
      <c r="G22">
        <v>135</v>
      </c>
      <c r="H22">
        <v>1.23</v>
      </c>
      <c r="I22" s="2">
        <v>3.52</v>
      </c>
      <c r="J22">
        <v>30</v>
      </c>
      <c r="K22" s="12">
        <v>35.615065225717579</v>
      </c>
    </row>
    <row r="23" spans="1:11" x14ac:dyDescent="0.3">
      <c r="A23">
        <v>2</v>
      </c>
      <c r="B23" t="s">
        <v>26</v>
      </c>
      <c r="C23">
        <v>4</v>
      </c>
      <c r="D23" s="1">
        <v>50</v>
      </c>
      <c r="E23" s="1">
        <f t="shared" si="0"/>
        <v>45.000000000000007</v>
      </c>
      <c r="F23">
        <v>1.35</v>
      </c>
      <c r="G23">
        <v>88</v>
      </c>
      <c r="H23">
        <v>1.04</v>
      </c>
      <c r="I23" s="2">
        <v>3.64</v>
      </c>
      <c r="J23">
        <v>30</v>
      </c>
      <c r="K23" s="12">
        <v>30.53498582163245</v>
      </c>
    </row>
    <row r="24" spans="1:11" x14ac:dyDescent="0.3">
      <c r="A24">
        <v>3</v>
      </c>
      <c r="B24" t="s">
        <v>26</v>
      </c>
      <c r="C24">
        <v>1</v>
      </c>
      <c r="D24" s="1">
        <v>30.357142857142851</v>
      </c>
      <c r="E24" s="1">
        <f t="shared" si="0"/>
        <v>33.433801800351063</v>
      </c>
      <c r="F24">
        <v>0.44</v>
      </c>
      <c r="G24">
        <v>197.4</v>
      </c>
      <c r="H24">
        <v>1.02</v>
      </c>
      <c r="I24" s="2">
        <v>3.46</v>
      </c>
      <c r="J24">
        <v>23.75</v>
      </c>
      <c r="K24" s="12">
        <v>38.237550988720947</v>
      </c>
    </row>
    <row r="25" spans="1:11" x14ac:dyDescent="0.3">
      <c r="A25">
        <v>3</v>
      </c>
      <c r="B25" t="s">
        <v>26</v>
      </c>
      <c r="C25">
        <v>2</v>
      </c>
      <c r="D25" s="1">
        <v>26.666666666666671</v>
      </c>
      <c r="E25" s="1">
        <f t="shared" si="0"/>
        <v>31.090930357673042</v>
      </c>
      <c r="F25">
        <v>0.3</v>
      </c>
      <c r="G25">
        <v>188.5</v>
      </c>
      <c r="H25">
        <v>0.7</v>
      </c>
      <c r="I25" s="2">
        <v>3.41</v>
      </c>
      <c r="J25">
        <v>23.75</v>
      </c>
      <c r="K25" s="12">
        <v>37.541867341885272</v>
      </c>
    </row>
    <row r="26" spans="1:11" x14ac:dyDescent="0.3">
      <c r="A26">
        <v>3</v>
      </c>
      <c r="B26" t="s">
        <v>26</v>
      </c>
      <c r="C26">
        <v>3</v>
      </c>
      <c r="D26" s="1">
        <v>31.666666666666661</v>
      </c>
      <c r="E26" s="1">
        <f t="shared" si="0"/>
        <v>34.244905866556259</v>
      </c>
      <c r="F26">
        <v>0.33</v>
      </c>
      <c r="G26">
        <v>183.8</v>
      </c>
      <c r="H26">
        <v>0.14000000000000001</v>
      </c>
      <c r="I26" s="2">
        <v>3.77</v>
      </c>
      <c r="J26">
        <v>23.75</v>
      </c>
      <c r="K26" s="12">
        <v>41.961069032324858</v>
      </c>
    </row>
    <row r="27" spans="1:11" x14ac:dyDescent="0.3">
      <c r="A27">
        <v>4</v>
      </c>
      <c r="B27" t="s">
        <v>26</v>
      </c>
      <c r="C27">
        <v>1</v>
      </c>
      <c r="D27" s="1">
        <v>4.5454545454545459</v>
      </c>
      <c r="E27" s="1">
        <f t="shared" si="0"/>
        <v>12.30998866432855</v>
      </c>
      <c r="F27">
        <v>0.13</v>
      </c>
      <c r="G27">
        <v>212.2</v>
      </c>
      <c r="H27">
        <v>0.22</v>
      </c>
      <c r="I27" s="2">
        <v>5.0999999999999996</v>
      </c>
      <c r="J27">
        <v>23.75</v>
      </c>
      <c r="K27" s="12">
        <v>23.889100127148449</v>
      </c>
    </row>
    <row r="28" spans="1:11" x14ac:dyDescent="0.3">
      <c r="A28">
        <v>4</v>
      </c>
      <c r="B28" t="s">
        <v>26</v>
      </c>
      <c r="C28">
        <v>2</v>
      </c>
      <c r="D28" s="1">
        <v>4.5454545454545459</v>
      </c>
      <c r="E28" s="1">
        <f t="shared" si="0"/>
        <v>12.30998866432855</v>
      </c>
      <c r="F28">
        <v>0.19</v>
      </c>
      <c r="G28">
        <v>206.8</v>
      </c>
      <c r="H28">
        <v>0</v>
      </c>
      <c r="I28" s="2">
        <v>5.16</v>
      </c>
      <c r="J28">
        <v>23.75</v>
      </c>
      <c r="K28" s="12">
        <v>23.657277022965861</v>
      </c>
    </row>
    <row r="29" spans="1:11" x14ac:dyDescent="0.3">
      <c r="A29">
        <v>4</v>
      </c>
      <c r="B29" t="s">
        <v>26</v>
      </c>
      <c r="C29">
        <v>3</v>
      </c>
      <c r="D29" s="1">
        <v>2.2727272727272729</v>
      </c>
      <c r="E29" s="1">
        <f t="shared" si="0"/>
        <v>8.6707214013798826</v>
      </c>
      <c r="F29">
        <v>0.22</v>
      </c>
      <c r="G29">
        <v>206.2</v>
      </c>
      <c r="H29">
        <v>0</v>
      </c>
      <c r="I29" s="2">
        <v>5.47</v>
      </c>
      <c r="J29">
        <v>23.75</v>
      </c>
      <c r="K29" s="12">
        <v>19.695882585831821</v>
      </c>
    </row>
    <row r="30" spans="1:11" x14ac:dyDescent="0.3">
      <c r="A30">
        <v>1</v>
      </c>
      <c r="B30" t="s">
        <v>27</v>
      </c>
      <c r="C30">
        <v>1</v>
      </c>
      <c r="D30" s="1">
        <v>40</v>
      </c>
      <c r="E30" s="1">
        <f t="shared" si="0"/>
        <v>39.231520483592263</v>
      </c>
      <c r="F30">
        <v>0.11</v>
      </c>
      <c r="G30">
        <v>182</v>
      </c>
      <c r="H30">
        <v>0.6</v>
      </c>
      <c r="I30" s="2">
        <v>3.62</v>
      </c>
      <c r="J30">
        <v>35</v>
      </c>
      <c r="K30" s="12">
        <v>43.641883056984717</v>
      </c>
    </row>
    <row r="31" spans="1:11" x14ac:dyDescent="0.3">
      <c r="A31">
        <v>1</v>
      </c>
      <c r="B31" t="s">
        <v>27</v>
      </c>
      <c r="C31">
        <v>2</v>
      </c>
      <c r="D31" s="1">
        <v>45</v>
      </c>
      <c r="E31" s="1">
        <f t="shared" si="0"/>
        <v>42.130414761366609</v>
      </c>
      <c r="F31">
        <v>0.08</v>
      </c>
      <c r="G31">
        <v>181</v>
      </c>
      <c r="H31">
        <v>0.15</v>
      </c>
      <c r="I31" s="2">
        <v>3.87</v>
      </c>
      <c r="J31">
        <v>35</v>
      </c>
      <c r="K31" s="12">
        <v>48.276664654045312</v>
      </c>
    </row>
    <row r="32" spans="1:11" x14ac:dyDescent="0.3">
      <c r="A32">
        <v>1</v>
      </c>
      <c r="B32" t="s">
        <v>27</v>
      </c>
      <c r="C32">
        <v>3</v>
      </c>
      <c r="D32" s="1">
        <v>45</v>
      </c>
      <c r="E32" s="1">
        <f t="shared" si="0"/>
        <v>42.130414761366609</v>
      </c>
      <c r="F32">
        <v>0.22</v>
      </c>
      <c r="G32">
        <v>188</v>
      </c>
      <c r="H32">
        <v>0.06</v>
      </c>
      <c r="I32" s="2">
        <v>3.74</v>
      </c>
      <c r="J32">
        <v>35</v>
      </c>
      <c r="K32" s="12">
        <v>47.881503546632722</v>
      </c>
    </row>
    <row r="33" spans="1:11" x14ac:dyDescent="0.3">
      <c r="A33">
        <v>1</v>
      </c>
      <c r="B33" t="s">
        <v>27</v>
      </c>
      <c r="C33">
        <v>4</v>
      </c>
      <c r="D33" s="1">
        <v>45</v>
      </c>
      <c r="E33" s="1">
        <f t="shared" si="0"/>
        <v>42.130414761366609</v>
      </c>
      <c r="F33">
        <v>0.08</v>
      </c>
      <c r="G33">
        <v>164</v>
      </c>
      <c r="H33">
        <v>0.15</v>
      </c>
      <c r="I33" s="2">
        <v>3.85</v>
      </c>
      <c r="J33">
        <v>35</v>
      </c>
      <c r="K33" s="12">
        <v>46.890212167284773</v>
      </c>
    </row>
    <row r="34" spans="1:11" x14ac:dyDescent="0.3">
      <c r="A34">
        <v>2</v>
      </c>
      <c r="B34" t="s">
        <v>27</v>
      </c>
      <c r="C34">
        <v>1</v>
      </c>
      <c r="D34" s="1">
        <v>60</v>
      </c>
      <c r="E34" s="1">
        <f t="shared" si="0"/>
        <v>50.768479516407751</v>
      </c>
      <c r="F34">
        <v>0.05</v>
      </c>
      <c r="G34">
        <v>196</v>
      </c>
      <c r="H34">
        <v>0.38</v>
      </c>
      <c r="I34" s="2">
        <v>3.81</v>
      </c>
      <c r="J34">
        <v>35</v>
      </c>
      <c r="K34" s="12">
        <v>57.621980169119666</v>
      </c>
    </row>
    <row r="35" spans="1:11" x14ac:dyDescent="0.3">
      <c r="A35">
        <v>2</v>
      </c>
      <c r="B35" t="s">
        <v>27</v>
      </c>
      <c r="C35">
        <v>2</v>
      </c>
      <c r="D35" s="1">
        <v>60</v>
      </c>
      <c r="E35" s="1">
        <f t="shared" si="0"/>
        <v>50.768479516407751</v>
      </c>
      <c r="F35">
        <v>0.33</v>
      </c>
      <c r="G35">
        <v>182</v>
      </c>
      <c r="H35">
        <v>0.38</v>
      </c>
      <c r="I35" s="2">
        <v>3.49</v>
      </c>
      <c r="J35">
        <v>35</v>
      </c>
      <c r="K35" s="12">
        <v>53.930389236205833</v>
      </c>
    </row>
    <row r="36" spans="1:11" x14ac:dyDescent="0.3">
      <c r="A36">
        <v>2</v>
      </c>
      <c r="B36" t="s">
        <v>27</v>
      </c>
      <c r="C36">
        <v>3</v>
      </c>
      <c r="D36" s="1">
        <v>55.000000000000007</v>
      </c>
      <c r="E36" s="1">
        <f t="shared" si="0"/>
        <v>47.869585238633384</v>
      </c>
      <c r="F36">
        <v>0.18</v>
      </c>
      <c r="G36">
        <v>176</v>
      </c>
      <c r="H36">
        <v>0.41</v>
      </c>
      <c r="I36" s="2">
        <v>4.04</v>
      </c>
      <c r="J36">
        <v>35</v>
      </c>
      <c r="K36" s="12">
        <v>51.805176585600712</v>
      </c>
    </row>
    <row r="37" spans="1:11" x14ac:dyDescent="0.3">
      <c r="A37">
        <v>2</v>
      </c>
      <c r="B37" t="s">
        <v>27</v>
      </c>
      <c r="C37">
        <v>4</v>
      </c>
      <c r="D37" s="1">
        <v>35</v>
      </c>
      <c r="E37" s="1">
        <f t="shared" si="0"/>
        <v>36.271198438138953</v>
      </c>
      <c r="F37">
        <v>0.38</v>
      </c>
      <c r="G37">
        <v>176</v>
      </c>
      <c r="H37">
        <v>0.37</v>
      </c>
      <c r="I37" s="2">
        <v>3.51</v>
      </c>
      <c r="J37">
        <v>35</v>
      </c>
      <c r="K37" s="12">
        <v>38.522766053150193</v>
      </c>
    </row>
    <row r="38" spans="1:11" x14ac:dyDescent="0.3">
      <c r="A38">
        <v>3</v>
      </c>
      <c r="B38" t="s">
        <v>27</v>
      </c>
      <c r="C38">
        <v>1</v>
      </c>
      <c r="D38" s="1">
        <v>35</v>
      </c>
      <c r="E38" s="1">
        <f t="shared" si="0"/>
        <v>36.271198438138953</v>
      </c>
      <c r="F38">
        <v>0.69</v>
      </c>
      <c r="G38">
        <v>187.5</v>
      </c>
      <c r="H38">
        <v>0.16</v>
      </c>
      <c r="I38" s="2">
        <v>3.31</v>
      </c>
      <c r="J38">
        <v>23.75</v>
      </c>
      <c r="K38" s="12">
        <v>40.94216290174181</v>
      </c>
    </row>
    <row r="39" spans="1:11" x14ac:dyDescent="0.3">
      <c r="A39">
        <v>3</v>
      </c>
      <c r="B39" t="s">
        <v>27</v>
      </c>
      <c r="C39">
        <v>2</v>
      </c>
      <c r="D39" s="1">
        <v>31.666666666666661</v>
      </c>
      <c r="E39" s="1">
        <f t="shared" si="0"/>
        <v>34.244905866556259</v>
      </c>
      <c r="F39">
        <v>0.56000000000000005</v>
      </c>
      <c r="G39">
        <v>158.80000000000001</v>
      </c>
      <c r="H39">
        <v>0.18</v>
      </c>
      <c r="I39" s="2">
        <v>3.23</v>
      </c>
      <c r="J39">
        <v>23.75</v>
      </c>
      <c r="K39" s="12">
        <v>37.690417731376449</v>
      </c>
    </row>
    <row r="40" spans="1:11" x14ac:dyDescent="0.3">
      <c r="A40">
        <v>3</v>
      </c>
      <c r="B40" t="s">
        <v>27</v>
      </c>
      <c r="C40">
        <v>3</v>
      </c>
      <c r="D40" s="1">
        <v>41.666666666666671</v>
      </c>
      <c r="E40" s="1">
        <f t="shared" si="0"/>
        <v>40.202965886569778</v>
      </c>
      <c r="F40">
        <v>0.52</v>
      </c>
      <c r="G40">
        <v>135.4</v>
      </c>
      <c r="H40">
        <v>0.1</v>
      </c>
      <c r="I40" s="2">
        <v>3.24</v>
      </c>
      <c r="J40">
        <v>23.75</v>
      </c>
      <c r="K40" s="12">
        <v>42.378858053548299</v>
      </c>
    </row>
    <row r="41" spans="1:11" x14ac:dyDescent="0.3">
      <c r="A41">
        <v>4</v>
      </c>
      <c r="B41" t="s">
        <v>27</v>
      </c>
      <c r="C41">
        <v>1</v>
      </c>
      <c r="D41" s="1">
        <v>50</v>
      </c>
      <c r="E41" s="1">
        <f t="shared" si="0"/>
        <v>45.000000000000007</v>
      </c>
      <c r="F41">
        <v>0.57999999999999996</v>
      </c>
      <c r="G41">
        <v>190.6</v>
      </c>
      <c r="H41">
        <v>2.15</v>
      </c>
      <c r="I41" s="2">
        <v>3.59</v>
      </c>
      <c r="J41">
        <v>23.75</v>
      </c>
      <c r="K41" s="12">
        <v>44.096482119345403</v>
      </c>
    </row>
    <row r="42" spans="1:11" x14ac:dyDescent="0.3">
      <c r="A42">
        <v>4</v>
      </c>
      <c r="B42" t="s">
        <v>27</v>
      </c>
      <c r="C42">
        <v>2</v>
      </c>
      <c r="D42" s="1">
        <v>41.666666666666671</v>
      </c>
      <c r="E42" s="1">
        <f t="shared" si="0"/>
        <v>40.202965886569778</v>
      </c>
      <c r="F42">
        <v>0.54</v>
      </c>
      <c r="G42">
        <v>219.7</v>
      </c>
      <c r="H42">
        <v>1.93</v>
      </c>
      <c r="I42" s="2">
        <v>3.45</v>
      </c>
      <c r="J42">
        <v>23.75</v>
      </c>
      <c r="K42" s="12">
        <v>42.791953079588779</v>
      </c>
    </row>
    <row r="43" spans="1:11" x14ac:dyDescent="0.3">
      <c r="A43">
        <v>4</v>
      </c>
      <c r="B43" t="s">
        <v>27</v>
      </c>
      <c r="C43">
        <v>3</v>
      </c>
      <c r="D43" s="1">
        <v>50</v>
      </c>
      <c r="E43" s="1">
        <f t="shared" si="0"/>
        <v>45.000000000000007</v>
      </c>
      <c r="F43">
        <v>0.37</v>
      </c>
      <c r="G43">
        <v>198.1</v>
      </c>
      <c r="H43">
        <v>1.67</v>
      </c>
      <c r="I43" s="2">
        <v>3.51</v>
      </c>
      <c r="J43">
        <v>23.75</v>
      </c>
      <c r="K43" s="12">
        <v>48.267707010106378</v>
      </c>
    </row>
    <row r="44" spans="1:11" x14ac:dyDescent="0.3">
      <c r="A44">
        <v>1</v>
      </c>
      <c r="B44" t="s">
        <v>28</v>
      </c>
      <c r="C44">
        <v>1</v>
      </c>
      <c r="D44" s="1">
        <v>5</v>
      </c>
      <c r="E44" s="1">
        <f t="shared" si="0"/>
        <v>12.920966381583565</v>
      </c>
      <c r="F44">
        <v>0.09</v>
      </c>
      <c r="G44">
        <v>204</v>
      </c>
      <c r="H44">
        <v>0.21</v>
      </c>
      <c r="I44" s="2">
        <v>3.97</v>
      </c>
      <c r="J44">
        <v>15</v>
      </c>
      <c r="K44" s="12">
        <v>27.01733414115278</v>
      </c>
    </row>
    <row r="45" spans="1:11" x14ac:dyDescent="0.3">
      <c r="A45">
        <v>1</v>
      </c>
      <c r="B45" t="s">
        <v>28</v>
      </c>
      <c r="C45">
        <v>2</v>
      </c>
      <c r="D45" s="1">
        <v>15</v>
      </c>
      <c r="E45" s="1">
        <f t="shared" si="0"/>
        <v>22.786497999597149</v>
      </c>
      <c r="F45">
        <v>0.28999999999999998</v>
      </c>
      <c r="G45">
        <v>200</v>
      </c>
      <c r="H45">
        <v>0.25</v>
      </c>
      <c r="I45" s="2">
        <v>3.93</v>
      </c>
      <c r="J45">
        <v>15</v>
      </c>
      <c r="K45" s="12">
        <v>34.598084616515969</v>
      </c>
    </row>
    <row r="46" spans="1:11" x14ac:dyDescent="0.3">
      <c r="A46">
        <v>1</v>
      </c>
      <c r="B46" t="s">
        <v>28</v>
      </c>
      <c r="C46">
        <v>3</v>
      </c>
      <c r="D46" s="1">
        <v>10</v>
      </c>
      <c r="E46" s="1">
        <f t="shared" si="0"/>
        <v>18.434948822922014</v>
      </c>
      <c r="F46">
        <v>0.05</v>
      </c>
      <c r="G46">
        <v>200</v>
      </c>
      <c r="H46">
        <v>0.25</v>
      </c>
      <c r="I46" s="2">
        <v>4</v>
      </c>
      <c r="J46">
        <v>15</v>
      </c>
      <c r="K46" s="12">
        <v>32.43208389588559</v>
      </c>
    </row>
    <row r="47" spans="1:11" x14ac:dyDescent="0.3">
      <c r="A47">
        <v>1</v>
      </c>
      <c r="B47" t="s">
        <v>28</v>
      </c>
      <c r="C47">
        <v>4</v>
      </c>
      <c r="D47" s="1">
        <v>5</v>
      </c>
      <c r="E47" s="1">
        <f t="shared" si="0"/>
        <v>12.920966381583565</v>
      </c>
      <c r="F47">
        <v>0.05</v>
      </c>
      <c r="G47">
        <v>194</v>
      </c>
      <c r="H47">
        <v>0.24</v>
      </c>
      <c r="I47" s="2">
        <v>3.62</v>
      </c>
      <c r="J47">
        <v>15</v>
      </c>
      <c r="K47" s="12">
        <v>26.463081944769609</v>
      </c>
    </row>
    <row r="48" spans="1:11" x14ac:dyDescent="0.3">
      <c r="A48">
        <v>2</v>
      </c>
      <c r="B48" t="s">
        <v>28</v>
      </c>
      <c r="C48">
        <v>1</v>
      </c>
      <c r="D48" s="1">
        <v>45</v>
      </c>
      <c r="E48" s="1">
        <f t="shared" si="0"/>
        <v>42.130414761366609</v>
      </c>
      <c r="F48">
        <v>0.47</v>
      </c>
      <c r="G48">
        <v>184</v>
      </c>
      <c r="H48">
        <v>0.46</v>
      </c>
      <c r="I48" s="2">
        <v>3.85</v>
      </c>
      <c r="J48">
        <v>15</v>
      </c>
      <c r="K48" s="12">
        <v>50.277293675697948</v>
      </c>
    </row>
    <row r="49" spans="1:11" x14ac:dyDescent="0.3">
      <c r="A49">
        <v>2</v>
      </c>
      <c r="B49" t="s">
        <v>28</v>
      </c>
      <c r="C49">
        <v>2</v>
      </c>
      <c r="D49" s="1">
        <v>30</v>
      </c>
      <c r="E49" s="1">
        <f t="shared" si="0"/>
        <v>33.210910760899083</v>
      </c>
      <c r="F49">
        <v>0.55000000000000004</v>
      </c>
      <c r="G49">
        <v>188</v>
      </c>
      <c r="H49">
        <v>0.61</v>
      </c>
      <c r="I49" s="2">
        <v>3.94</v>
      </c>
      <c r="J49">
        <v>15</v>
      </c>
      <c r="K49" s="12">
        <v>40.440747707442853</v>
      </c>
    </row>
    <row r="50" spans="1:11" x14ac:dyDescent="0.3">
      <c r="A50">
        <v>2</v>
      </c>
      <c r="B50" t="s">
        <v>28</v>
      </c>
      <c r="C50">
        <v>3</v>
      </c>
      <c r="D50" s="1">
        <v>40</v>
      </c>
      <c r="E50" s="1">
        <f t="shared" si="0"/>
        <v>39.231520483592263</v>
      </c>
      <c r="F50">
        <v>0.38</v>
      </c>
      <c r="G50">
        <v>147</v>
      </c>
      <c r="H50">
        <v>0.44</v>
      </c>
      <c r="I50" s="2">
        <v>3.63</v>
      </c>
      <c r="J50">
        <v>15</v>
      </c>
      <c r="K50" s="12">
        <v>45.249040333561013</v>
      </c>
    </row>
    <row r="51" spans="1:11" x14ac:dyDescent="0.3">
      <c r="A51">
        <v>2</v>
      </c>
      <c r="B51" t="s">
        <v>28</v>
      </c>
      <c r="C51">
        <v>4</v>
      </c>
      <c r="D51" s="1">
        <v>35</v>
      </c>
      <c r="E51" s="1">
        <f t="shared" si="0"/>
        <v>36.271198438138953</v>
      </c>
      <c r="F51">
        <v>0.34</v>
      </c>
      <c r="G51">
        <v>174</v>
      </c>
      <c r="H51">
        <v>0.63</v>
      </c>
      <c r="I51" s="2">
        <v>3.65</v>
      </c>
      <c r="J51">
        <v>15</v>
      </c>
      <c r="K51" s="12">
        <v>44.202972558819667</v>
      </c>
    </row>
    <row r="52" spans="1:11" x14ac:dyDescent="0.3">
      <c r="A52">
        <v>3</v>
      </c>
      <c r="B52" t="s">
        <v>28</v>
      </c>
      <c r="C52">
        <v>1</v>
      </c>
      <c r="D52" s="1">
        <v>56.666666666666657</v>
      </c>
      <c r="E52" s="1">
        <f t="shared" si="0"/>
        <v>48.831127830383025</v>
      </c>
      <c r="F52">
        <v>0.78</v>
      </c>
      <c r="G52">
        <v>160</v>
      </c>
      <c r="H52">
        <v>2.44</v>
      </c>
      <c r="I52" s="2">
        <v>3.87</v>
      </c>
      <c r="J52">
        <v>23.75</v>
      </c>
      <c r="K52" s="12">
        <v>42.615521894933387</v>
      </c>
    </row>
    <row r="53" spans="1:11" x14ac:dyDescent="0.3">
      <c r="A53">
        <v>3</v>
      </c>
      <c r="B53" t="s">
        <v>28</v>
      </c>
      <c r="C53">
        <v>2</v>
      </c>
      <c r="D53" s="1">
        <v>48.333333333333343</v>
      </c>
      <c r="E53" s="1">
        <f t="shared" si="0"/>
        <v>44.044893414145044</v>
      </c>
      <c r="F53">
        <v>0.77</v>
      </c>
      <c r="G53">
        <v>141.5</v>
      </c>
      <c r="H53">
        <v>2.2000000000000002</v>
      </c>
      <c r="I53" s="2">
        <v>3.93</v>
      </c>
      <c r="J53">
        <v>23.75</v>
      </c>
      <c r="K53" s="12">
        <v>37.235165356474553</v>
      </c>
    </row>
    <row r="54" spans="1:11" x14ac:dyDescent="0.3">
      <c r="A54">
        <v>3</v>
      </c>
      <c r="B54" t="s">
        <v>28</v>
      </c>
      <c r="C54">
        <v>3</v>
      </c>
      <c r="D54" s="1">
        <v>48.333333333333343</v>
      </c>
      <c r="E54" s="1">
        <f t="shared" si="0"/>
        <v>44.044893414145044</v>
      </c>
      <c r="F54">
        <v>0.64</v>
      </c>
      <c r="G54">
        <v>175.3</v>
      </c>
      <c r="H54">
        <v>1.66</v>
      </c>
      <c r="I54" s="2">
        <v>3.81</v>
      </c>
      <c r="J54">
        <v>23.75</v>
      </c>
      <c r="K54" s="12">
        <v>43.028697620389593</v>
      </c>
    </row>
    <row r="55" spans="1:11" x14ac:dyDescent="0.3">
      <c r="A55">
        <v>4</v>
      </c>
      <c r="B55" t="s">
        <v>28</v>
      </c>
      <c r="C55">
        <v>1</v>
      </c>
      <c r="D55" s="1">
        <v>70.833333333333343</v>
      </c>
      <c r="E55" s="1">
        <f t="shared" si="0"/>
        <v>57.312159176082048</v>
      </c>
      <c r="F55">
        <v>3.75</v>
      </c>
      <c r="G55">
        <v>142.4</v>
      </c>
      <c r="H55">
        <v>1.59</v>
      </c>
      <c r="I55" s="2">
        <v>3.66</v>
      </c>
      <c r="J55">
        <v>23.75</v>
      </c>
      <c r="K55" s="12">
        <v>25.53192126486389</v>
      </c>
    </row>
    <row r="56" spans="1:11" x14ac:dyDescent="0.3">
      <c r="A56">
        <v>4</v>
      </c>
      <c r="B56" t="s">
        <v>28</v>
      </c>
      <c r="C56">
        <v>2</v>
      </c>
      <c r="D56" s="1">
        <v>60.416666666666657</v>
      </c>
      <c r="E56" s="1">
        <f t="shared" si="0"/>
        <v>51.012349590282909</v>
      </c>
      <c r="F56">
        <v>3.05</v>
      </c>
      <c r="G56">
        <v>128.80000000000001</v>
      </c>
      <c r="H56">
        <v>0.94</v>
      </c>
      <c r="I56" s="2">
        <v>3.93</v>
      </c>
      <c r="J56">
        <v>23.75</v>
      </c>
      <c r="K56" s="12">
        <v>26.728049051106549</v>
      </c>
    </row>
    <row r="57" spans="1:11" x14ac:dyDescent="0.3">
      <c r="A57">
        <v>4</v>
      </c>
      <c r="B57" t="s">
        <v>28</v>
      </c>
      <c r="C57">
        <v>3</v>
      </c>
      <c r="D57" s="1">
        <v>72.916666666666657</v>
      </c>
      <c r="E57" s="1">
        <f t="shared" si="0"/>
        <v>58.639806367989038</v>
      </c>
      <c r="F57">
        <v>2.84</v>
      </c>
      <c r="G57">
        <v>137.30000000000001</v>
      </c>
      <c r="H57">
        <v>1.1200000000000001</v>
      </c>
      <c r="I57" s="2">
        <v>3.84</v>
      </c>
      <c r="J57">
        <v>23.75</v>
      </c>
      <c r="K57" s="12">
        <v>36.34338705486666</v>
      </c>
    </row>
    <row r="58" spans="1:11" x14ac:dyDescent="0.3">
      <c r="A58">
        <v>1</v>
      </c>
      <c r="B58" t="s">
        <v>29</v>
      </c>
      <c r="C58">
        <v>1</v>
      </c>
      <c r="D58" s="1">
        <v>25</v>
      </c>
      <c r="E58" s="1">
        <f t="shared" si="0"/>
        <v>30.000000000000004</v>
      </c>
      <c r="F58">
        <v>0.38</v>
      </c>
      <c r="G58">
        <v>161</v>
      </c>
      <c r="H58">
        <v>0.91</v>
      </c>
      <c r="I58" s="2">
        <v>3.7</v>
      </c>
      <c r="J58">
        <v>35</v>
      </c>
      <c r="K58" s="12">
        <v>29.175127436420311</v>
      </c>
    </row>
    <row r="59" spans="1:11" x14ac:dyDescent="0.3">
      <c r="A59">
        <v>1</v>
      </c>
      <c r="B59" t="s">
        <v>29</v>
      </c>
      <c r="C59">
        <v>2</v>
      </c>
      <c r="D59" s="1">
        <v>45</v>
      </c>
      <c r="E59" s="1">
        <f t="shared" si="0"/>
        <v>42.130414761366609</v>
      </c>
      <c r="F59">
        <v>1.56</v>
      </c>
      <c r="G59">
        <v>152</v>
      </c>
      <c r="H59">
        <v>1.5</v>
      </c>
      <c r="I59" s="2">
        <v>3.43</v>
      </c>
      <c r="J59">
        <v>35</v>
      </c>
      <c r="K59" s="12">
        <v>27.801241638672241</v>
      </c>
    </row>
    <row r="60" spans="1:11" x14ac:dyDescent="0.3">
      <c r="A60">
        <v>1</v>
      </c>
      <c r="B60" t="s">
        <v>29</v>
      </c>
      <c r="C60">
        <v>3</v>
      </c>
      <c r="D60" s="1">
        <v>25</v>
      </c>
      <c r="E60" s="1">
        <f t="shared" si="0"/>
        <v>30.000000000000004</v>
      </c>
      <c r="F60">
        <v>0.31</v>
      </c>
      <c r="G60">
        <v>200</v>
      </c>
      <c r="H60">
        <v>0.22</v>
      </c>
      <c r="I60" s="2">
        <v>3.73</v>
      </c>
      <c r="J60">
        <v>35</v>
      </c>
      <c r="K60" s="12">
        <v>35.36111386552016</v>
      </c>
    </row>
    <row r="61" spans="1:11" x14ac:dyDescent="0.3">
      <c r="A61">
        <v>1</v>
      </c>
      <c r="B61" t="s">
        <v>29</v>
      </c>
      <c r="C61">
        <v>4</v>
      </c>
      <c r="D61" s="1">
        <v>25</v>
      </c>
      <c r="E61" s="1">
        <f t="shared" si="0"/>
        <v>30.000000000000004</v>
      </c>
      <c r="F61">
        <v>0.27</v>
      </c>
      <c r="G61">
        <v>202</v>
      </c>
      <c r="H61">
        <v>0.19</v>
      </c>
      <c r="I61" s="2">
        <v>3.75</v>
      </c>
      <c r="J61">
        <v>35</v>
      </c>
      <c r="K61" s="12">
        <v>35.991433984854467</v>
      </c>
    </row>
    <row r="62" spans="1:11" x14ac:dyDescent="0.3">
      <c r="A62">
        <v>2</v>
      </c>
      <c r="B62" t="s">
        <v>29</v>
      </c>
      <c r="C62">
        <v>1</v>
      </c>
      <c r="D62" s="1">
        <v>80</v>
      </c>
      <c r="E62" s="1">
        <f t="shared" si="0"/>
        <v>63.43494882292201</v>
      </c>
      <c r="F62">
        <v>1.23</v>
      </c>
      <c r="G62">
        <v>157</v>
      </c>
      <c r="H62">
        <v>0.91</v>
      </c>
      <c r="I62" s="2">
        <v>3.9</v>
      </c>
      <c r="J62">
        <v>35</v>
      </c>
      <c r="K62" s="12">
        <v>54.543368029651901</v>
      </c>
    </row>
    <row r="63" spans="1:11" x14ac:dyDescent="0.3">
      <c r="A63">
        <v>2</v>
      </c>
      <c r="B63" t="s">
        <v>29</v>
      </c>
      <c r="C63">
        <v>2</v>
      </c>
      <c r="D63" s="1">
        <v>40</v>
      </c>
      <c r="E63" s="1">
        <f t="shared" si="0"/>
        <v>39.231520483592263</v>
      </c>
      <c r="F63">
        <v>1.29</v>
      </c>
      <c r="G63">
        <v>152</v>
      </c>
      <c r="H63">
        <v>0.83</v>
      </c>
      <c r="I63" s="2">
        <v>3.84</v>
      </c>
      <c r="J63">
        <v>35</v>
      </c>
      <c r="K63" s="12">
        <v>29.660305729308519</v>
      </c>
    </row>
    <row r="64" spans="1:11" x14ac:dyDescent="0.3">
      <c r="A64">
        <v>2</v>
      </c>
      <c r="B64" t="s">
        <v>29</v>
      </c>
      <c r="C64">
        <v>3</v>
      </c>
      <c r="D64" s="1">
        <v>65</v>
      </c>
      <c r="E64" s="1">
        <f t="shared" si="0"/>
        <v>53.728801561861061</v>
      </c>
      <c r="F64">
        <v>2.4</v>
      </c>
      <c r="G64">
        <v>124</v>
      </c>
      <c r="H64">
        <v>1.1000000000000001</v>
      </c>
      <c r="I64" s="2">
        <v>3.54</v>
      </c>
      <c r="J64">
        <v>35</v>
      </c>
      <c r="K64" s="12">
        <v>30.839306522098909</v>
      </c>
    </row>
    <row r="65" spans="1:11" x14ac:dyDescent="0.3">
      <c r="A65">
        <v>2</v>
      </c>
      <c r="B65" t="s">
        <v>29</v>
      </c>
      <c r="C65">
        <v>4</v>
      </c>
      <c r="D65" s="1">
        <v>75</v>
      </c>
      <c r="E65" s="1">
        <f t="shared" si="0"/>
        <v>59.999999999999993</v>
      </c>
      <c r="F65">
        <v>2.1800000000000002</v>
      </c>
      <c r="G65">
        <v>112</v>
      </c>
      <c r="H65">
        <v>1.1499999999999999</v>
      </c>
      <c r="I65" s="2">
        <v>3.87</v>
      </c>
      <c r="J65">
        <v>35</v>
      </c>
      <c r="K65" s="12">
        <v>37.963668724581687</v>
      </c>
    </row>
    <row r="66" spans="1:11" x14ac:dyDescent="0.3">
      <c r="A66">
        <v>3</v>
      </c>
      <c r="B66" t="s">
        <v>29</v>
      </c>
      <c r="C66">
        <v>1</v>
      </c>
      <c r="D66" s="1">
        <v>30</v>
      </c>
      <c r="E66" s="1">
        <f t="shared" ref="E66:E129" si="1">ASIN(SQRT(D66/100))*180/PI()</f>
        <v>33.210910760899083</v>
      </c>
      <c r="F66">
        <v>0.28999999999999998</v>
      </c>
      <c r="G66">
        <v>164.2</v>
      </c>
      <c r="H66">
        <v>0.25</v>
      </c>
      <c r="I66" s="2">
        <v>3.81</v>
      </c>
      <c r="J66">
        <v>23.75</v>
      </c>
      <c r="K66" s="12">
        <v>39.315350559245559</v>
      </c>
    </row>
    <row r="67" spans="1:11" x14ac:dyDescent="0.3">
      <c r="A67">
        <v>3</v>
      </c>
      <c r="B67" t="s">
        <v>29</v>
      </c>
      <c r="C67">
        <v>2</v>
      </c>
      <c r="D67" s="1">
        <v>31.666666666666661</v>
      </c>
      <c r="E67" s="1">
        <f t="shared" si="1"/>
        <v>34.244905866556259</v>
      </c>
      <c r="F67">
        <v>0.32</v>
      </c>
      <c r="G67">
        <v>182.6</v>
      </c>
      <c r="H67">
        <v>0.2</v>
      </c>
      <c r="I67" s="2">
        <v>3.62</v>
      </c>
      <c r="J67">
        <v>23.75</v>
      </c>
      <c r="K67" s="12">
        <v>41.748366344845337</v>
      </c>
    </row>
    <row r="68" spans="1:11" x14ac:dyDescent="0.3">
      <c r="A68">
        <v>3</v>
      </c>
      <c r="B68" t="s">
        <v>29</v>
      </c>
      <c r="C68">
        <v>3</v>
      </c>
      <c r="D68" s="1">
        <v>33.333333333333329</v>
      </c>
      <c r="E68" s="1">
        <f t="shared" si="1"/>
        <v>35.264389682754654</v>
      </c>
      <c r="F68">
        <v>0.27</v>
      </c>
      <c r="G68">
        <v>180.9</v>
      </c>
      <c r="H68">
        <v>0.9</v>
      </c>
      <c r="I68" s="2">
        <v>3.74</v>
      </c>
      <c r="J68">
        <v>23.75</v>
      </c>
      <c r="K68" s="12">
        <v>40.68236116595584</v>
      </c>
    </row>
    <row r="69" spans="1:11" x14ac:dyDescent="0.3">
      <c r="A69">
        <v>4</v>
      </c>
      <c r="B69" t="s">
        <v>29</v>
      </c>
      <c r="C69">
        <v>1</v>
      </c>
      <c r="D69" s="1">
        <v>2.7777777777777781</v>
      </c>
      <c r="E69" s="1">
        <f t="shared" si="1"/>
        <v>9.5940682268604629</v>
      </c>
      <c r="F69">
        <v>0.11</v>
      </c>
      <c r="G69">
        <v>199.9</v>
      </c>
      <c r="H69">
        <v>1.32</v>
      </c>
      <c r="I69" s="2">
        <v>4</v>
      </c>
      <c r="J69">
        <v>23.75</v>
      </c>
      <c r="K69" s="12">
        <v>16.577336753265261</v>
      </c>
    </row>
    <row r="70" spans="1:11" x14ac:dyDescent="0.3">
      <c r="A70">
        <v>4</v>
      </c>
      <c r="B70" t="s">
        <v>29</v>
      </c>
      <c r="C70">
        <v>2</v>
      </c>
      <c r="D70" s="1">
        <v>10</v>
      </c>
      <c r="E70" s="1">
        <f t="shared" si="1"/>
        <v>18.434948822922014</v>
      </c>
      <c r="F70">
        <v>0.22</v>
      </c>
      <c r="G70">
        <v>193.6</v>
      </c>
      <c r="H70">
        <v>0.8</v>
      </c>
      <c r="I70" s="2">
        <v>3.93</v>
      </c>
      <c r="J70">
        <v>23.75</v>
      </c>
      <c r="K70" s="12">
        <v>25.687171084974299</v>
      </c>
    </row>
    <row r="71" spans="1:11" x14ac:dyDescent="0.3">
      <c r="A71">
        <v>4</v>
      </c>
      <c r="B71" t="s">
        <v>29</v>
      </c>
      <c r="C71">
        <v>3</v>
      </c>
      <c r="D71" s="1">
        <v>6.25</v>
      </c>
      <c r="E71" s="1">
        <f t="shared" si="1"/>
        <v>14.477512185929923</v>
      </c>
      <c r="F71">
        <v>0.27</v>
      </c>
      <c r="G71">
        <v>190</v>
      </c>
      <c r="H71">
        <v>0.69</v>
      </c>
      <c r="I71" s="2">
        <v>3.9</v>
      </c>
      <c r="J71">
        <v>23.75</v>
      </c>
      <c r="K71" s="12">
        <v>21.35829343211751</v>
      </c>
    </row>
    <row r="72" spans="1:11" x14ac:dyDescent="0.3">
      <c r="A72">
        <v>1</v>
      </c>
      <c r="B72" t="s">
        <v>30</v>
      </c>
      <c r="C72">
        <v>1</v>
      </c>
      <c r="D72" s="1">
        <v>5</v>
      </c>
      <c r="E72" s="1">
        <f t="shared" si="1"/>
        <v>12.920966381583565</v>
      </c>
      <c r="F72">
        <v>0.05</v>
      </c>
      <c r="G72">
        <v>172</v>
      </c>
      <c r="H72">
        <v>0.23</v>
      </c>
      <c r="I72" s="2">
        <v>3.71</v>
      </c>
      <c r="J72">
        <v>25</v>
      </c>
      <c r="K72" s="12">
        <v>21.517519127136602</v>
      </c>
    </row>
    <row r="73" spans="1:11" x14ac:dyDescent="0.3">
      <c r="A73">
        <v>1</v>
      </c>
      <c r="B73" t="s">
        <v>30</v>
      </c>
      <c r="C73">
        <v>2</v>
      </c>
      <c r="D73" s="1">
        <v>5</v>
      </c>
      <c r="E73" s="1">
        <f t="shared" si="1"/>
        <v>12.920966381583565</v>
      </c>
      <c r="F73">
        <v>0.05</v>
      </c>
      <c r="G73">
        <v>188</v>
      </c>
      <c r="H73">
        <v>0.22</v>
      </c>
      <c r="I73" s="2">
        <v>3.84</v>
      </c>
      <c r="J73">
        <v>25</v>
      </c>
      <c r="K73" s="12">
        <v>22.856732247284459</v>
      </c>
    </row>
    <row r="74" spans="1:11" x14ac:dyDescent="0.3">
      <c r="A74">
        <v>1</v>
      </c>
      <c r="B74" t="s">
        <v>30</v>
      </c>
      <c r="C74">
        <v>3</v>
      </c>
      <c r="D74" s="1">
        <v>0</v>
      </c>
      <c r="E74" s="1">
        <f t="shared" si="1"/>
        <v>0</v>
      </c>
      <c r="F74">
        <v>0.06</v>
      </c>
      <c r="G74">
        <v>196</v>
      </c>
      <c r="H74">
        <v>0.27</v>
      </c>
      <c r="I74" s="2">
        <v>3.8</v>
      </c>
      <c r="J74">
        <v>25</v>
      </c>
      <c r="K74" s="12">
        <v>10.325566265661299</v>
      </c>
    </row>
    <row r="75" spans="1:11" x14ac:dyDescent="0.3">
      <c r="A75">
        <v>1</v>
      </c>
      <c r="B75" t="s">
        <v>30</v>
      </c>
      <c r="C75">
        <v>4</v>
      </c>
      <c r="D75" s="1">
        <v>0</v>
      </c>
      <c r="E75" s="1">
        <f t="shared" si="1"/>
        <v>0</v>
      </c>
      <c r="F75">
        <v>0.05</v>
      </c>
      <c r="G75">
        <v>174</v>
      </c>
      <c r="H75">
        <v>0.26</v>
      </c>
      <c r="I75" s="2">
        <v>3.93</v>
      </c>
      <c r="J75">
        <v>25</v>
      </c>
      <c r="K75" s="12">
        <v>8.656714816758079</v>
      </c>
    </row>
    <row r="76" spans="1:11" x14ac:dyDescent="0.3">
      <c r="A76">
        <v>2</v>
      </c>
      <c r="B76" t="s">
        <v>30</v>
      </c>
      <c r="C76">
        <v>1</v>
      </c>
      <c r="D76" s="1">
        <v>0</v>
      </c>
      <c r="E76" s="1">
        <f t="shared" si="1"/>
        <v>0</v>
      </c>
      <c r="F76">
        <v>0.05</v>
      </c>
      <c r="G76">
        <v>186</v>
      </c>
      <c r="H76">
        <v>0.21</v>
      </c>
      <c r="I76" s="2">
        <v>4.09</v>
      </c>
      <c r="J76">
        <v>25</v>
      </c>
      <c r="K76" s="12">
        <v>9.8069704704552549</v>
      </c>
    </row>
    <row r="77" spans="1:11" x14ac:dyDescent="0.3">
      <c r="A77">
        <v>2</v>
      </c>
      <c r="B77" t="s">
        <v>30</v>
      </c>
      <c r="C77">
        <v>2</v>
      </c>
      <c r="D77" s="1">
        <v>15</v>
      </c>
      <c r="E77" s="1">
        <f t="shared" si="1"/>
        <v>22.786497999597149</v>
      </c>
      <c r="F77">
        <v>0.08</v>
      </c>
      <c r="G77">
        <v>182</v>
      </c>
      <c r="H77">
        <v>0.28999999999999998</v>
      </c>
      <c r="I77" s="2">
        <v>4.05</v>
      </c>
      <c r="J77">
        <v>25</v>
      </c>
      <c r="K77" s="12">
        <v>31.719517502352499</v>
      </c>
    </row>
    <row r="78" spans="1:11" x14ac:dyDescent="0.3">
      <c r="A78">
        <v>2</v>
      </c>
      <c r="B78" t="s">
        <v>30</v>
      </c>
      <c r="C78">
        <v>3</v>
      </c>
      <c r="D78" s="1">
        <v>15</v>
      </c>
      <c r="E78" s="1">
        <f t="shared" si="1"/>
        <v>22.786497999597149</v>
      </c>
      <c r="F78">
        <v>0.05</v>
      </c>
      <c r="G78">
        <v>193</v>
      </c>
      <c r="H78">
        <v>0.31</v>
      </c>
      <c r="I78" s="2">
        <v>3.98</v>
      </c>
      <c r="J78">
        <v>25</v>
      </c>
      <c r="K78" s="12">
        <v>32.821194050280177</v>
      </c>
    </row>
    <row r="79" spans="1:11" x14ac:dyDescent="0.3">
      <c r="A79">
        <v>2</v>
      </c>
      <c r="B79" t="s">
        <v>30</v>
      </c>
      <c r="C79">
        <v>4</v>
      </c>
      <c r="D79" s="1">
        <v>25</v>
      </c>
      <c r="E79" s="1">
        <f t="shared" si="1"/>
        <v>30.000000000000004</v>
      </c>
      <c r="F79">
        <v>0.05</v>
      </c>
      <c r="G79">
        <v>181</v>
      </c>
      <c r="H79">
        <v>0.25</v>
      </c>
      <c r="I79" s="2">
        <v>4.0999999999999996</v>
      </c>
      <c r="J79">
        <v>25</v>
      </c>
      <c r="K79" s="12">
        <v>39.26192367920919</v>
      </c>
    </row>
    <row r="80" spans="1:11" x14ac:dyDescent="0.3">
      <c r="A80">
        <v>3</v>
      </c>
      <c r="B80" t="s">
        <v>30</v>
      </c>
      <c r="C80">
        <v>1</v>
      </c>
      <c r="D80" s="1">
        <v>39.285714285714278</v>
      </c>
      <c r="E80" s="1">
        <f t="shared" si="1"/>
        <v>38.813187441905718</v>
      </c>
      <c r="F80">
        <v>0.74</v>
      </c>
      <c r="G80">
        <v>204.3</v>
      </c>
      <c r="H80">
        <v>0.7</v>
      </c>
      <c r="I80" s="2">
        <v>3.62</v>
      </c>
      <c r="J80">
        <v>23.75</v>
      </c>
      <c r="K80" s="12">
        <v>42.545870842436848</v>
      </c>
    </row>
    <row r="81" spans="1:11" x14ac:dyDescent="0.3">
      <c r="A81">
        <v>3</v>
      </c>
      <c r="B81" t="s">
        <v>30</v>
      </c>
      <c r="C81">
        <v>2</v>
      </c>
      <c r="D81" s="1">
        <v>46.666666666666657</v>
      </c>
      <c r="E81" s="1">
        <f t="shared" si="1"/>
        <v>43.08872313536282</v>
      </c>
      <c r="F81">
        <v>0.63</v>
      </c>
      <c r="G81">
        <v>157.6</v>
      </c>
      <c r="H81">
        <v>0.21</v>
      </c>
      <c r="I81" s="2">
        <v>3.71</v>
      </c>
      <c r="J81">
        <v>23.75</v>
      </c>
      <c r="K81" s="12">
        <v>45.695966146749477</v>
      </c>
    </row>
    <row r="82" spans="1:11" x14ac:dyDescent="0.3">
      <c r="A82">
        <v>3</v>
      </c>
      <c r="B82" t="s">
        <v>30</v>
      </c>
      <c r="C82">
        <v>3</v>
      </c>
      <c r="D82" s="1">
        <v>33.333333333333329</v>
      </c>
      <c r="E82" s="1">
        <f t="shared" si="1"/>
        <v>35.264389682754654</v>
      </c>
      <c r="F82">
        <v>0.56999999999999995</v>
      </c>
      <c r="G82">
        <v>188.2</v>
      </c>
      <c r="H82">
        <v>0</v>
      </c>
      <c r="I82" s="2">
        <v>3.5</v>
      </c>
      <c r="J82">
        <v>23.75</v>
      </c>
      <c r="K82" s="12">
        <v>41.634284186747813</v>
      </c>
    </row>
    <row r="83" spans="1:11" x14ac:dyDescent="0.3">
      <c r="A83">
        <v>4</v>
      </c>
      <c r="B83" t="s">
        <v>30</v>
      </c>
      <c r="C83">
        <v>1</v>
      </c>
      <c r="D83" s="1">
        <v>50</v>
      </c>
      <c r="E83" s="1">
        <f t="shared" si="1"/>
        <v>45.000000000000007</v>
      </c>
      <c r="F83">
        <v>0.65</v>
      </c>
      <c r="G83">
        <v>132.9</v>
      </c>
      <c r="H83">
        <v>0</v>
      </c>
      <c r="I83" s="2">
        <v>3.82</v>
      </c>
      <c r="J83">
        <v>23.75</v>
      </c>
      <c r="K83" s="12">
        <v>46.131329968574867</v>
      </c>
    </row>
    <row r="84" spans="1:11" x14ac:dyDescent="0.3">
      <c r="A84">
        <v>4</v>
      </c>
      <c r="B84" t="s">
        <v>30</v>
      </c>
      <c r="C84">
        <v>2</v>
      </c>
      <c r="D84" s="1">
        <v>43.18181818181818</v>
      </c>
      <c r="E84" s="1">
        <f t="shared" si="1"/>
        <v>41.081260118457855</v>
      </c>
      <c r="F84">
        <v>0.67</v>
      </c>
      <c r="G84">
        <v>107.9</v>
      </c>
      <c r="H84">
        <v>0</v>
      </c>
      <c r="I84" s="2">
        <v>3.73</v>
      </c>
      <c r="J84">
        <v>23.75</v>
      </c>
      <c r="K84" s="12">
        <v>39.991560333204681</v>
      </c>
    </row>
    <row r="85" spans="1:11" x14ac:dyDescent="0.3">
      <c r="A85">
        <v>4</v>
      </c>
      <c r="B85" t="s">
        <v>30</v>
      </c>
      <c r="C85">
        <v>3</v>
      </c>
      <c r="D85" s="1">
        <v>47.916666666666671</v>
      </c>
      <c r="E85" s="1">
        <f t="shared" si="1"/>
        <v>43.805992268365614</v>
      </c>
      <c r="F85">
        <v>0.59</v>
      </c>
      <c r="G85">
        <v>173.1</v>
      </c>
      <c r="H85">
        <v>0</v>
      </c>
      <c r="I85" s="2">
        <v>4.03</v>
      </c>
      <c r="J85">
        <v>23.75</v>
      </c>
      <c r="K85" s="12">
        <v>48.762261701997161</v>
      </c>
    </row>
    <row r="86" spans="1:11" x14ac:dyDescent="0.3">
      <c r="A86">
        <v>1</v>
      </c>
      <c r="B86" t="s">
        <v>31</v>
      </c>
      <c r="C86">
        <v>1</v>
      </c>
      <c r="D86" s="1">
        <v>0</v>
      </c>
      <c r="E86" s="1">
        <f t="shared" si="1"/>
        <v>0</v>
      </c>
      <c r="F86">
        <v>0.05</v>
      </c>
      <c r="G86">
        <v>190</v>
      </c>
      <c r="H86">
        <v>0.42</v>
      </c>
      <c r="I86" s="2">
        <v>3.81</v>
      </c>
      <c r="J86">
        <v>20</v>
      </c>
      <c r="K86" s="12">
        <v>11.005368107424751</v>
      </c>
    </row>
    <row r="87" spans="1:11" x14ac:dyDescent="0.3">
      <c r="A87">
        <v>1</v>
      </c>
      <c r="B87" t="s">
        <v>31</v>
      </c>
      <c r="C87">
        <v>2</v>
      </c>
      <c r="D87" s="1">
        <v>5</v>
      </c>
      <c r="E87" s="1">
        <f t="shared" si="1"/>
        <v>12.920966381583565</v>
      </c>
      <c r="F87">
        <v>0.05</v>
      </c>
      <c r="G87">
        <v>200</v>
      </c>
      <c r="H87">
        <v>0.28000000000000003</v>
      </c>
      <c r="I87" s="2">
        <v>3.91</v>
      </c>
      <c r="J87">
        <v>20</v>
      </c>
      <c r="K87" s="12">
        <v>25.22232804362228</v>
      </c>
    </row>
    <row r="88" spans="1:11" x14ac:dyDescent="0.3">
      <c r="A88">
        <v>1</v>
      </c>
      <c r="B88" t="s">
        <v>31</v>
      </c>
      <c r="C88">
        <v>3</v>
      </c>
      <c r="D88" s="1">
        <v>10</v>
      </c>
      <c r="E88" s="1">
        <f t="shared" si="1"/>
        <v>18.434948822922014</v>
      </c>
      <c r="F88">
        <v>0.05</v>
      </c>
      <c r="G88">
        <v>198</v>
      </c>
      <c r="H88">
        <v>0.26</v>
      </c>
      <c r="I88" s="2">
        <v>3.89</v>
      </c>
      <c r="J88">
        <v>20</v>
      </c>
      <c r="K88" s="12">
        <v>30.641831751735381</v>
      </c>
    </row>
    <row r="89" spans="1:11" x14ac:dyDescent="0.3">
      <c r="A89">
        <v>1</v>
      </c>
      <c r="B89" t="s">
        <v>31</v>
      </c>
      <c r="C89">
        <v>4</v>
      </c>
      <c r="D89" s="1">
        <v>10</v>
      </c>
      <c r="E89" s="1">
        <f t="shared" si="1"/>
        <v>18.434948822922014</v>
      </c>
      <c r="F89">
        <v>0.05</v>
      </c>
      <c r="G89">
        <v>192</v>
      </c>
      <c r="H89">
        <v>0.28000000000000003</v>
      </c>
      <c r="I89" s="2">
        <v>4.13</v>
      </c>
      <c r="J89">
        <v>20</v>
      </c>
      <c r="K89" s="12">
        <v>30.08386225589695</v>
      </c>
    </row>
    <row r="90" spans="1:11" x14ac:dyDescent="0.3">
      <c r="A90">
        <v>2</v>
      </c>
      <c r="B90" t="s">
        <v>31</v>
      </c>
      <c r="C90">
        <v>1</v>
      </c>
      <c r="D90" s="1">
        <v>5</v>
      </c>
      <c r="E90" s="1">
        <f t="shared" si="1"/>
        <v>12.920966381583565</v>
      </c>
      <c r="F90">
        <v>0.05</v>
      </c>
      <c r="G90">
        <v>176</v>
      </c>
      <c r="H90">
        <v>0.27</v>
      </c>
      <c r="I90" s="2">
        <v>3.91</v>
      </c>
      <c r="J90">
        <v>20</v>
      </c>
      <c r="K90" s="12">
        <v>23.299300018451241</v>
      </c>
    </row>
    <row r="91" spans="1:11" x14ac:dyDescent="0.3">
      <c r="A91">
        <v>2</v>
      </c>
      <c r="B91" t="s">
        <v>31</v>
      </c>
      <c r="C91">
        <v>2</v>
      </c>
      <c r="D91" s="1">
        <v>10</v>
      </c>
      <c r="E91" s="1">
        <f t="shared" si="1"/>
        <v>18.434948822922014</v>
      </c>
      <c r="F91">
        <v>0.05</v>
      </c>
      <c r="G91">
        <v>158</v>
      </c>
      <c r="H91">
        <v>0.42</v>
      </c>
      <c r="I91" s="2">
        <v>4.03</v>
      </c>
      <c r="J91">
        <v>20</v>
      </c>
      <c r="K91" s="12">
        <v>26.830524014091651</v>
      </c>
    </row>
    <row r="92" spans="1:11" x14ac:dyDescent="0.3">
      <c r="A92">
        <v>2</v>
      </c>
      <c r="B92" t="s">
        <v>31</v>
      </c>
      <c r="C92">
        <v>3</v>
      </c>
      <c r="D92" s="1">
        <v>30</v>
      </c>
      <c r="E92" s="1">
        <f t="shared" si="1"/>
        <v>33.210910760899083</v>
      </c>
      <c r="F92">
        <v>0.06</v>
      </c>
      <c r="G92">
        <v>168</v>
      </c>
      <c r="H92">
        <v>0.77</v>
      </c>
      <c r="I92" s="2">
        <v>4.07</v>
      </c>
      <c r="J92">
        <v>20</v>
      </c>
      <c r="K92" s="12">
        <v>41.129898548685993</v>
      </c>
    </row>
    <row r="93" spans="1:11" x14ac:dyDescent="0.3">
      <c r="A93">
        <v>2</v>
      </c>
      <c r="B93" t="s">
        <v>31</v>
      </c>
      <c r="C93">
        <v>4</v>
      </c>
      <c r="D93" s="1">
        <v>35</v>
      </c>
      <c r="E93" s="1">
        <f t="shared" si="1"/>
        <v>36.271198438138953</v>
      </c>
      <c r="F93">
        <v>0.05</v>
      </c>
      <c r="G93">
        <v>156</v>
      </c>
      <c r="H93">
        <v>0.53</v>
      </c>
      <c r="I93" s="2">
        <v>6.56</v>
      </c>
      <c r="J93">
        <v>20</v>
      </c>
      <c r="K93" s="12">
        <v>44.126178289819322</v>
      </c>
    </row>
    <row r="94" spans="1:11" x14ac:dyDescent="0.3">
      <c r="A94">
        <v>3</v>
      </c>
      <c r="B94" t="s">
        <v>31</v>
      </c>
      <c r="C94">
        <v>1</v>
      </c>
      <c r="D94" s="1">
        <v>45</v>
      </c>
      <c r="E94" s="1">
        <f t="shared" si="1"/>
        <v>42.130414761366609</v>
      </c>
      <c r="F94">
        <v>0.67</v>
      </c>
      <c r="G94">
        <v>156.5</v>
      </c>
      <c r="H94">
        <v>0.87</v>
      </c>
      <c r="I94" s="2">
        <v>3.69</v>
      </c>
      <c r="J94">
        <v>23.75</v>
      </c>
      <c r="K94" s="12">
        <v>42.018788371909579</v>
      </c>
    </row>
    <row r="95" spans="1:11" x14ac:dyDescent="0.3">
      <c r="A95">
        <v>3</v>
      </c>
      <c r="B95" t="s">
        <v>31</v>
      </c>
      <c r="C95">
        <v>2</v>
      </c>
      <c r="D95" s="1">
        <v>36.666666666666657</v>
      </c>
      <c r="E95" s="1">
        <f t="shared" si="1"/>
        <v>37.266995023289724</v>
      </c>
      <c r="F95">
        <v>0.72</v>
      </c>
      <c r="G95">
        <v>156.80000000000001</v>
      </c>
      <c r="H95">
        <v>0</v>
      </c>
      <c r="I95" s="2">
        <v>3.63</v>
      </c>
      <c r="J95">
        <v>23.75</v>
      </c>
      <c r="K95" s="12">
        <v>39.710062443179567</v>
      </c>
    </row>
    <row r="96" spans="1:11" x14ac:dyDescent="0.3">
      <c r="A96">
        <v>3</v>
      </c>
      <c r="B96" t="s">
        <v>31</v>
      </c>
      <c r="C96">
        <v>3</v>
      </c>
      <c r="D96" s="1">
        <v>45</v>
      </c>
      <c r="E96" s="1">
        <f t="shared" si="1"/>
        <v>42.130414761366609</v>
      </c>
      <c r="F96">
        <v>0.85</v>
      </c>
      <c r="G96">
        <v>142.30000000000001</v>
      </c>
      <c r="H96">
        <v>0.88</v>
      </c>
      <c r="I96" s="2">
        <v>3.44</v>
      </c>
      <c r="J96">
        <v>23.75</v>
      </c>
      <c r="K96" s="12">
        <v>39.187214761267498</v>
      </c>
    </row>
    <row r="97" spans="1:11" x14ac:dyDescent="0.3">
      <c r="A97">
        <v>4</v>
      </c>
      <c r="B97" t="s">
        <v>31</v>
      </c>
      <c r="C97">
        <v>1</v>
      </c>
      <c r="D97" s="1">
        <v>62.5</v>
      </c>
      <c r="E97" s="1">
        <f t="shared" si="1"/>
        <v>52.238756092964962</v>
      </c>
      <c r="F97">
        <v>1.2</v>
      </c>
      <c r="G97">
        <v>105.2</v>
      </c>
      <c r="H97">
        <v>2.2799999999999998</v>
      </c>
      <c r="I97" s="2">
        <v>3.97</v>
      </c>
      <c r="J97">
        <v>23.75</v>
      </c>
      <c r="K97" s="12">
        <v>38.278236582674957</v>
      </c>
    </row>
    <row r="98" spans="1:11" x14ac:dyDescent="0.3">
      <c r="A98">
        <v>4</v>
      </c>
      <c r="B98" t="s">
        <v>31</v>
      </c>
      <c r="C98">
        <v>2</v>
      </c>
      <c r="D98" s="1">
        <v>58.333333333333343</v>
      </c>
      <c r="E98" s="1">
        <f t="shared" si="1"/>
        <v>49.797034113430229</v>
      </c>
      <c r="F98">
        <v>0.92</v>
      </c>
      <c r="G98">
        <v>123.9</v>
      </c>
      <c r="H98">
        <v>0</v>
      </c>
      <c r="I98" s="2">
        <v>4.07</v>
      </c>
      <c r="J98">
        <v>23.75</v>
      </c>
      <c r="K98" s="12">
        <v>47.735617811257988</v>
      </c>
    </row>
    <row r="99" spans="1:11" x14ac:dyDescent="0.3">
      <c r="A99">
        <v>4</v>
      </c>
      <c r="B99" t="s">
        <v>31</v>
      </c>
      <c r="C99">
        <v>3</v>
      </c>
      <c r="D99" s="1">
        <v>70.833333333333343</v>
      </c>
      <c r="E99" s="1">
        <f t="shared" si="1"/>
        <v>57.312159176082048</v>
      </c>
      <c r="F99">
        <v>1.47</v>
      </c>
      <c r="G99">
        <v>126.2</v>
      </c>
      <c r="H99">
        <v>0</v>
      </c>
      <c r="I99" s="2">
        <v>3.84</v>
      </c>
      <c r="J99">
        <v>23.75</v>
      </c>
      <c r="K99" s="12">
        <v>50.429773194663071</v>
      </c>
    </row>
    <row r="100" spans="1:11" x14ac:dyDescent="0.3">
      <c r="A100">
        <v>1</v>
      </c>
      <c r="B100" t="s">
        <v>32</v>
      </c>
      <c r="C100">
        <v>1</v>
      </c>
      <c r="D100" s="1">
        <v>50</v>
      </c>
      <c r="E100" s="1">
        <f t="shared" si="1"/>
        <v>45.000000000000007</v>
      </c>
      <c r="F100">
        <v>0.57999999999999996</v>
      </c>
      <c r="G100">
        <v>148</v>
      </c>
      <c r="H100">
        <v>0.2</v>
      </c>
      <c r="I100" s="2">
        <v>3.82</v>
      </c>
      <c r="J100">
        <v>35</v>
      </c>
      <c r="K100" s="12">
        <v>43.730091687595852</v>
      </c>
    </row>
    <row r="101" spans="1:11" x14ac:dyDescent="0.3">
      <c r="A101">
        <v>1</v>
      </c>
      <c r="B101" t="s">
        <v>32</v>
      </c>
      <c r="C101">
        <v>2</v>
      </c>
      <c r="D101" s="1">
        <v>30</v>
      </c>
      <c r="E101" s="1">
        <f t="shared" si="1"/>
        <v>33.210910760899083</v>
      </c>
      <c r="F101">
        <v>0.49</v>
      </c>
      <c r="G101">
        <v>170</v>
      </c>
      <c r="H101">
        <v>0.28000000000000003</v>
      </c>
      <c r="I101" s="2">
        <v>3.33</v>
      </c>
      <c r="J101">
        <v>35</v>
      </c>
      <c r="K101" s="12">
        <v>34.280282453274687</v>
      </c>
    </row>
    <row r="102" spans="1:11" x14ac:dyDescent="0.3">
      <c r="A102">
        <v>1</v>
      </c>
      <c r="B102" t="s">
        <v>32</v>
      </c>
      <c r="C102">
        <v>3</v>
      </c>
      <c r="D102" s="1">
        <v>25</v>
      </c>
      <c r="E102" s="1">
        <f t="shared" si="1"/>
        <v>30.000000000000004</v>
      </c>
      <c r="F102">
        <v>0.14000000000000001</v>
      </c>
      <c r="G102">
        <v>120</v>
      </c>
      <c r="H102">
        <v>0.22</v>
      </c>
      <c r="I102" s="2">
        <v>3.74</v>
      </c>
      <c r="J102">
        <v>35</v>
      </c>
      <c r="K102" s="12">
        <v>30.384728397914081</v>
      </c>
    </row>
    <row r="103" spans="1:11" x14ac:dyDescent="0.3">
      <c r="A103">
        <v>1</v>
      </c>
      <c r="B103" t="s">
        <v>32</v>
      </c>
      <c r="C103">
        <v>4</v>
      </c>
      <c r="D103" s="1">
        <v>20</v>
      </c>
      <c r="E103" s="1">
        <f t="shared" si="1"/>
        <v>26.56505117707799</v>
      </c>
      <c r="F103">
        <v>0.05</v>
      </c>
      <c r="G103">
        <v>146</v>
      </c>
      <c r="H103">
        <v>0.26</v>
      </c>
      <c r="I103" s="2">
        <v>3.51</v>
      </c>
      <c r="J103">
        <v>35</v>
      </c>
      <c r="K103" s="12">
        <v>29.752550342384922</v>
      </c>
    </row>
    <row r="104" spans="1:11" x14ac:dyDescent="0.3">
      <c r="A104">
        <v>2</v>
      </c>
      <c r="B104" t="s">
        <v>32</v>
      </c>
      <c r="C104">
        <v>1</v>
      </c>
      <c r="D104" s="1">
        <v>50</v>
      </c>
      <c r="E104" s="1">
        <f t="shared" si="1"/>
        <v>45.000000000000007</v>
      </c>
      <c r="F104">
        <v>0.15</v>
      </c>
      <c r="G104">
        <v>180</v>
      </c>
      <c r="H104">
        <v>0.15</v>
      </c>
      <c r="I104" s="2">
        <v>3.81</v>
      </c>
      <c r="J104">
        <v>35</v>
      </c>
      <c r="K104" s="12">
        <v>50.427242231032679</v>
      </c>
    </row>
    <row r="105" spans="1:11" x14ac:dyDescent="0.3">
      <c r="A105">
        <v>2</v>
      </c>
      <c r="B105" t="s">
        <v>32</v>
      </c>
      <c r="C105">
        <v>2</v>
      </c>
      <c r="D105" s="1">
        <v>70</v>
      </c>
      <c r="E105" s="1">
        <f t="shared" si="1"/>
        <v>56.789089239100917</v>
      </c>
      <c r="F105">
        <v>0.83</v>
      </c>
      <c r="G105">
        <v>202</v>
      </c>
      <c r="H105">
        <v>0.39</v>
      </c>
      <c r="I105" s="2">
        <v>3.9</v>
      </c>
      <c r="J105">
        <v>35</v>
      </c>
      <c r="K105" s="12">
        <v>56.994576919444903</v>
      </c>
    </row>
    <row r="106" spans="1:11" x14ac:dyDescent="0.3">
      <c r="A106">
        <v>2</v>
      </c>
      <c r="B106" t="s">
        <v>32</v>
      </c>
      <c r="C106">
        <v>3</v>
      </c>
      <c r="D106" s="1">
        <v>45</v>
      </c>
      <c r="E106" s="1">
        <f t="shared" si="1"/>
        <v>42.130414761366609</v>
      </c>
      <c r="F106">
        <v>0.48</v>
      </c>
      <c r="G106">
        <v>193</v>
      </c>
      <c r="H106">
        <v>0.44</v>
      </c>
      <c r="I106" s="2">
        <v>4.1399999999999997</v>
      </c>
      <c r="J106">
        <v>35</v>
      </c>
      <c r="K106" s="12">
        <v>44.617573038977604</v>
      </c>
    </row>
    <row r="107" spans="1:11" x14ac:dyDescent="0.3">
      <c r="A107">
        <v>2</v>
      </c>
      <c r="B107" t="s">
        <v>32</v>
      </c>
      <c r="C107">
        <v>4</v>
      </c>
      <c r="D107" s="1">
        <v>60</v>
      </c>
      <c r="E107" s="1">
        <f t="shared" si="1"/>
        <v>50.768479516407751</v>
      </c>
      <c r="F107">
        <v>0.92</v>
      </c>
      <c r="G107">
        <v>172</v>
      </c>
      <c r="H107">
        <v>0.42</v>
      </c>
      <c r="I107" s="2">
        <v>3.65</v>
      </c>
      <c r="J107">
        <v>35</v>
      </c>
      <c r="K107" s="12">
        <v>47.60475568068486</v>
      </c>
    </row>
    <row r="108" spans="1:11" x14ac:dyDescent="0.3">
      <c r="A108">
        <v>3</v>
      </c>
      <c r="B108" t="s">
        <v>32</v>
      </c>
      <c r="C108">
        <v>1</v>
      </c>
      <c r="D108" s="1">
        <v>48.214285714285722</v>
      </c>
      <c r="E108" s="1">
        <f t="shared" si="1"/>
        <v>43.976643451163724</v>
      </c>
      <c r="F108">
        <v>2.31</v>
      </c>
      <c r="G108">
        <v>114.9</v>
      </c>
      <c r="H108">
        <v>0</v>
      </c>
      <c r="I108" s="2">
        <v>3.71</v>
      </c>
      <c r="J108">
        <v>23.75</v>
      </c>
      <c r="K108" s="12">
        <v>28.523254750035491</v>
      </c>
    </row>
    <row r="109" spans="1:11" x14ac:dyDescent="0.3">
      <c r="A109">
        <v>3</v>
      </c>
      <c r="B109" t="s">
        <v>32</v>
      </c>
      <c r="C109">
        <v>2</v>
      </c>
      <c r="D109" s="1">
        <v>48.333333333333343</v>
      </c>
      <c r="E109" s="1">
        <f t="shared" si="1"/>
        <v>44.044893414145044</v>
      </c>
      <c r="F109">
        <v>2.67</v>
      </c>
      <c r="G109">
        <v>126.4</v>
      </c>
      <c r="H109">
        <v>0</v>
      </c>
      <c r="I109" s="2">
        <v>3.73</v>
      </c>
      <c r="J109">
        <v>23.75</v>
      </c>
      <c r="K109" s="12">
        <v>26.25107635822885</v>
      </c>
    </row>
    <row r="110" spans="1:11" x14ac:dyDescent="0.3">
      <c r="A110">
        <v>3</v>
      </c>
      <c r="B110" t="s">
        <v>32</v>
      </c>
      <c r="C110">
        <v>3</v>
      </c>
      <c r="D110" s="1">
        <v>46.666666666666657</v>
      </c>
      <c r="E110" s="1">
        <f t="shared" si="1"/>
        <v>43.08872313536282</v>
      </c>
      <c r="F110">
        <v>3.9</v>
      </c>
      <c r="G110">
        <v>150.4</v>
      </c>
      <c r="H110">
        <v>0</v>
      </c>
      <c r="I110" s="2">
        <v>3.65</v>
      </c>
      <c r="J110">
        <v>23.75</v>
      </c>
      <c r="K110" s="12">
        <v>16.051314929408559</v>
      </c>
    </row>
    <row r="111" spans="1:11" x14ac:dyDescent="0.3">
      <c r="A111">
        <v>4</v>
      </c>
      <c r="B111" t="s">
        <v>32</v>
      </c>
      <c r="C111">
        <v>1</v>
      </c>
      <c r="D111" s="1">
        <v>54.54545454545454</v>
      </c>
      <c r="E111" s="1">
        <f t="shared" si="1"/>
        <v>47.607954285227066</v>
      </c>
      <c r="F111">
        <v>3.1</v>
      </c>
      <c r="G111">
        <v>108</v>
      </c>
      <c r="H111">
        <v>2.42</v>
      </c>
      <c r="I111" s="2">
        <v>3.59</v>
      </c>
      <c r="J111">
        <v>23.75</v>
      </c>
      <c r="K111" s="12">
        <v>16.09309977647079</v>
      </c>
    </row>
    <row r="112" spans="1:11" x14ac:dyDescent="0.3">
      <c r="A112">
        <v>4</v>
      </c>
      <c r="B112" t="s">
        <v>32</v>
      </c>
      <c r="C112">
        <v>2</v>
      </c>
      <c r="D112" s="1">
        <v>59.090909090909093</v>
      </c>
      <c r="E112" s="1">
        <f t="shared" si="1"/>
        <v>50.237840848194956</v>
      </c>
      <c r="F112">
        <v>2.9</v>
      </c>
      <c r="G112">
        <v>115.4</v>
      </c>
      <c r="H112">
        <v>2.41</v>
      </c>
      <c r="I112" s="2">
        <v>3.68</v>
      </c>
      <c r="J112">
        <v>23.75</v>
      </c>
      <c r="K112" s="12">
        <v>21.182107993380271</v>
      </c>
    </row>
    <row r="113" spans="1:11" x14ac:dyDescent="0.3">
      <c r="A113">
        <v>4</v>
      </c>
      <c r="B113" t="s">
        <v>32</v>
      </c>
      <c r="C113">
        <v>3</v>
      </c>
      <c r="D113" s="1">
        <v>60.416666666666657</v>
      </c>
      <c r="E113" s="1">
        <f t="shared" si="1"/>
        <v>51.012349590282909</v>
      </c>
      <c r="F113">
        <v>3.15</v>
      </c>
      <c r="G113">
        <v>145.80000000000001</v>
      </c>
      <c r="H113">
        <v>2.8</v>
      </c>
      <c r="I113" s="2">
        <v>3.63</v>
      </c>
      <c r="J113">
        <v>23.75</v>
      </c>
      <c r="K113" s="12">
        <v>20.820957212072159</v>
      </c>
    </row>
    <row r="114" spans="1:11" x14ac:dyDescent="0.3">
      <c r="A114">
        <v>1</v>
      </c>
      <c r="B114" t="s">
        <v>33</v>
      </c>
      <c r="C114">
        <v>1</v>
      </c>
      <c r="D114" s="1">
        <v>45</v>
      </c>
      <c r="E114" s="1">
        <f t="shared" si="1"/>
        <v>42.130414761366609</v>
      </c>
      <c r="F114">
        <v>0.61</v>
      </c>
      <c r="G114">
        <v>126</v>
      </c>
      <c r="H114">
        <v>0.81</v>
      </c>
      <c r="I114" s="2">
        <v>4.0199999999999996</v>
      </c>
      <c r="J114">
        <v>30</v>
      </c>
      <c r="K114" s="12">
        <v>38.292587303656973</v>
      </c>
    </row>
    <row r="115" spans="1:11" x14ac:dyDescent="0.3">
      <c r="A115">
        <v>1</v>
      </c>
      <c r="B115" t="s">
        <v>33</v>
      </c>
      <c r="C115">
        <v>2</v>
      </c>
      <c r="D115" s="1">
        <v>60</v>
      </c>
      <c r="E115" s="1">
        <f t="shared" si="1"/>
        <v>50.768479516407751</v>
      </c>
      <c r="F115">
        <v>0.9</v>
      </c>
      <c r="G115">
        <v>156</v>
      </c>
      <c r="H115">
        <v>1.23</v>
      </c>
      <c r="I115" s="2">
        <v>3.82</v>
      </c>
      <c r="J115">
        <v>30</v>
      </c>
      <c r="K115" s="12">
        <v>45.295162061780502</v>
      </c>
    </row>
    <row r="116" spans="1:11" x14ac:dyDescent="0.3">
      <c r="A116">
        <v>1</v>
      </c>
      <c r="B116" t="s">
        <v>33</v>
      </c>
      <c r="C116">
        <v>3</v>
      </c>
      <c r="D116" s="1">
        <v>50</v>
      </c>
      <c r="E116" s="1">
        <f t="shared" si="1"/>
        <v>45.000000000000007</v>
      </c>
      <c r="F116">
        <v>1.51</v>
      </c>
      <c r="G116">
        <v>136</v>
      </c>
      <c r="H116">
        <v>1.02</v>
      </c>
      <c r="I116" s="2">
        <v>3.71</v>
      </c>
      <c r="J116">
        <v>30</v>
      </c>
      <c r="K116" s="12">
        <v>33.061276216025888</v>
      </c>
    </row>
    <row r="117" spans="1:11" x14ac:dyDescent="0.3">
      <c r="A117">
        <v>1</v>
      </c>
      <c r="B117" t="s">
        <v>33</v>
      </c>
      <c r="C117">
        <v>4</v>
      </c>
      <c r="D117" s="1">
        <v>55.000000000000007</v>
      </c>
      <c r="E117" s="1">
        <f t="shared" si="1"/>
        <v>47.869585238633384</v>
      </c>
      <c r="F117">
        <v>0.89</v>
      </c>
      <c r="G117">
        <v>110</v>
      </c>
      <c r="H117">
        <v>1.22</v>
      </c>
      <c r="I117" s="2">
        <v>3.95</v>
      </c>
      <c r="J117">
        <v>30</v>
      </c>
      <c r="K117" s="12">
        <v>38.770071647911571</v>
      </c>
    </row>
    <row r="118" spans="1:11" x14ac:dyDescent="0.3">
      <c r="A118">
        <v>2</v>
      </c>
      <c r="B118" t="s">
        <v>33</v>
      </c>
      <c r="C118">
        <v>1</v>
      </c>
      <c r="D118" s="1">
        <v>75</v>
      </c>
      <c r="E118" s="1">
        <f t="shared" si="1"/>
        <v>59.999999999999993</v>
      </c>
      <c r="F118">
        <v>2.13</v>
      </c>
      <c r="G118">
        <v>164</v>
      </c>
      <c r="H118">
        <v>1.03</v>
      </c>
      <c r="I118" s="2">
        <v>3.99</v>
      </c>
      <c r="J118">
        <v>30</v>
      </c>
      <c r="K118" s="12">
        <v>44.664528177613157</v>
      </c>
    </row>
    <row r="119" spans="1:11" x14ac:dyDescent="0.3">
      <c r="A119">
        <v>2</v>
      </c>
      <c r="B119" t="s">
        <v>33</v>
      </c>
      <c r="C119">
        <v>2</v>
      </c>
      <c r="D119" s="1">
        <v>95</v>
      </c>
      <c r="E119" s="1">
        <f t="shared" si="1"/>
        <v>77.079033618416432</v>
      </c>
      <c r="F119">
        <v>2.4</v>
      </c>
      <c r="G119">
        <v>178</v>
      </c>
      <c r="H119">
        <v>1.05</v>
      </c>
      <c r="I119" s="2">
        <v>3.73</v>
      </c>
      <c r="J119">
        <v>30</v>
      </c>
      <c r="K119" s="12">
        <v>60.357970859800247</v>
      </c>
    </row>
    <row r="120" spans="1:11" x14ac:dyDescent="0.3">
      <c r="A120">
        <v>2</v>
      </c>
      <c r="B120" t="s">
        <v>33</v>
      </c>
      <c r="C120">
        <v>3</v>
      </c>
      <c r="D120" s="1">
        <v>65</v>
      </c>
      <c r="E120" s="1">
        <f t="shared" si="1"/>
        <v>53.728801561861061</v>
      </c>
      <c r="F120">
        <v>2.4</v>
      </c>
      <c r="G120">
        <v>148</v>
      </c>
      <c r="H120">
        <v>1.04</v>
      </c>
      <c r="I120" s="2">
        <v>3.65</v>
      </c>
      <c r="J120">
        <v>30</v>
      </c>
      <c r="K120" s="12">
        <v>34.595374606276017</v>
      </c>
    </row>
    <row r="121" spans="1:11" x14ac:dyDescent="0.3">
      <c r="A121">
        <v>2</v>
      </c>
      <c r="B121" t="s">
        <v>33</v>
      </c>
      <c r="C121">
        <v>4</v>
      </c>
      <c r="D121" s="1">
        <v>70</v>
      </c>
      <c r="E121" s="1">
        <f t="shared" si="1"/>
        <v>56.789089239100917</v>
      </c>
      <c r="F121">
        <v>2.2599999999999998</v>
      </c>
      <c r="G121">
        <v>158</v>
      </c>
      <c r="H121">
        <v>1.04</v>
      </c>
      <c r="I121" s="2">
        <v>3.87</v>
      </c>
      <c r="J121">
        <v>30</v>
      </c>
      <c r="K121" s="12">
        <v>39.746125835871709</v>
      </c>
    </row>
    <row r="122" spans="1:11" x14ac:dyDescent="0.3">
      <c r="A122">
        <v>3</v>
      </c>
      <c r="B122" t="s">
        <v>33</v>
      </c>
      <c r="C122">
        <v>1</v>
      </c>
      <c r="D122" s="1">
        <v>35</v>
      </c>
      <c r="E122" s="1">
        <f t="shared" si="1"/>
        <v>36.271198438138953</v>
      </c>
      <c r="F122">
        <v>0.63</v>
      </c>
      <c r="G122">
        <v>164.2</v>
      </c>
      <c r="H122">
        <v>0</v>
      </c>
      <c r="I122" s="2">
        <v>3.66</v>
      </c>
      <c r="J122">
        <v>23.75</v>
      </c>
      <c r="K122" s="12">
        <v>40.137361140929578</v>
      </c>
    </row>
    <row r="123" spans="1:11" x14ac:dyDescent="0.3">
      <c r="A123">
        <v>3</v>
      </c>
      <c r="B123" t="s">
        <v>33</v>
      </c>
      <c r="C123">
        <v>2</v>
      </c>
      <c r="D123" s="1">
        <v>40</v>
      </c>
      <c r="E123" s="1">
        <f t="shared" si="1"/>
        <v>39.231520483592263</v>
      </c>
      <c r="F123">
        <v>0.57999999999999996</v>
      </c>
      <c r="G123">
        <v>158.9</v>
      </c>
      <c r="H123">
        <v>0</v>
      </c>
      <c r="I123" s="2">
        <v>3.66</v>
      </c>
      <c r="J123">
        <v>23.75</v>
      </c>
      <c r="K123" s="12">
        <v>43.120758829637467</v>
      </c>
    </row>
    <row r="124" spans="1:11" x14ac:dyDescent="0.3">
      <c r="A124">
        <v>3</v>
      </c>
      <c r="B124" t="s">
        <v>33</v>
      </c>
      <c r="C124">
        <v>3</v>
      </c>
      <c r="D124" s="1">
        <v>39.285714285714278</v>
      </c>
      <c r="E124" s="1">
        <f t="shared" si="1"/>
        <v>38.813187441905718</v>
      </c>
      <c r="F124">
        <v>0.52</v>
      </c>
      <c r="G124">
        <v>151.4</v>
      </c>
      <c r="H124">
        <v>0</v>
      </c>
      <c r="I124" s="2">
        <v>3.57</v>
      </c>
      <c r="J124">
        <v>23.75</v>
      </c>
      <c r="K124" s="12">
        <v>42.637142687214819</v>
      </c>
    </row>
    <row r="125" spans="1:11" x14ac:dyDescent="0.3">
      <c r="A125">
        <v>4</v>
      </c>
      <c r="B125" t="s">
        <v>33</v>
      </c>
      <c r="C125">
        <v>1</v>
      </c>
      <c r="D125" s="1">
        <v>54.166666666666657</v>
      </c>
      <c r="E125" s="1">
        <f t="shared" si="1"/>
        <v>47.390095923599567</v>
      </c>
      <c r="F125">
        <v>0.63</v>
      </c>
      <c r="G125">
        <v>149.5</v>
      </c>
      <c r="H125">
        <v>4.29</v>
      </c>
      <c r="I125" s="2">
        <v>4.0599999999999996</v>
      </c>
      <c r="J125">
        <v>23.75</v>
      </c>
      <c r="K125" s="12">
        <v>35.335536998775737</v>
      </c>
    </row>
    <row r="126" spans="1:11" x14ac:dyDescent="0.3">
      <c r="A126">
        <v>4</v>
      </c>
      <c r="B126" t="s">
        <v>33</v>
      </c>
      <c r="C126">
        <v>2</v>
      </c>
      <c r="D126" s="1">
        <v>41.666666666666671</v>
      </c>
      <c r="E126" s="1">
        <f t="shared" si="1"/>
        <v>40.202965886569778</v>
      </c>
      <c r="F126">
        <v>0.64</v>
      </c>
      <c r="G126">
        <v>148.80000000000001</v>
      </c>
      <c r="H126">
        <v>4.16</v>
      </c>
      <c r="I126" s="2">
        <v>3.93</v>
      </c>
      <c r="J126">
        <v>23.75</v>
      </c>
      <c r="K126" s="12">
        <v>28.446369828964929</v>
      </c>
    </row>
    <row r="127" spans="1:11" x14ac:dyDescent="0.3">
      <c r="A127">
        <v>4</v>
      </c>
      <c r="B127" t="s">
        <v>33</v>
      </c>
      <c r="C127">
        <v>3</v>
      </c>
      <c r="D127" s="1">
        <v>58.333333333333343</v>
      </c>
      <c r="E127" s="1">
        <f t="shared" si="1"/>
        <v>49.797034113430229</v>
      </c>
      <c r="F127">
        <v>0.71</v>
      </c>
      <c r="G127">
        <v>139.80000000000001</v>
      </c>
      <c r="H127">
        <v>5.12</v>
      </c>
      <c r="I127" s="2">
        <v>4.18</v>
      </c>
      <c r="J127">
        <v>23.75</v>
      </c>
      <c r="K127" s="12">
        <v>33.374582611166552</v>
      </c>
    </row>
    <row r="128" spans="1:11" x14ac:dyDescent="0.3">
      <c r="A128">
        <v>1</v>
      </c>
      <c r="B128" t="s">
        <v>34</v>
      </c>
      <c r="C128">
        <v>1</v>
      </c>
      <c r="D128" s="1">
        <v>40</v>
      </c>
      <c r="E128" s="1">
        <f t="shared" si="1"/>
        <v>39.231520483592263</v>
      </c>
      <c r="F128">
        <v>0.12</v>
      </c>
      <c r="G128">
        <v>184</v>
      </c>
      <c r="H128">
        <v>0.33</v>
      </c>
      <c r="I128" s="2">
        <v>3.56</v>
      </c>
      <c r="J128">
        <v>35</v>
      </c>
      <c r="K128" s="12">
        <v>44.640480469796969</v>
      </c>
    </row>
    <row r="129" spans="1:11" x14ac:dyDescent="0.3">
      <c r="A129">
        <v>1</v>
      </c>
      <c r="B129" t="s">
        <v>34</v>
      </c>
      <c r="C129">
        <v>2</v>
      </c>
      <c r="D129" s="1">
        <v>30</v>
      </c>
      <c r="E129" s="1">
        <f t="shared" si="1"/>
        <v>33.210910760899083</v>
      </c>
      <c r="F129">
        <v>0.1</v>
      </c>
      <c r="G129">
        <v>164</v>
      </c>
      <c r="H129">
        <v>0.41</v>
      </c>
      <c r="I129" s="2">
        <v>3.9</v>
      </c>
      <c r="J129">
        <v>35</v>
      </c>
      <c r="K129" s="12">
        <v>36.896345916285647</v>
      </c>
    </row>
    <row r="130" spans="1:11" x14ac:dyDescent="0.3">
      <c r="A130">
        <v>1</v>
      </c>
      <c r="B130" t="s">
        <v>34</v>
      </c>
      <c r="C130">
        <v>3</v>
      </c>
      <c r="D130" s="1">
        <v>30</v>
      </c>
      <c r="E130" s="1">
        <f t="shared" ref="E130:E155" si="2">ASIN(SQRT(D130/100))*180/PI()</f>
        <v>33.210910760899083</v>
      </c>
      <c r="F130">
        <v>0.12</v>
      </c>
      <c r="G130">
        <v>160</v>
      </c>
      <c r="H130">
        <v>0.28000000000000003</v>
      </c>
      <c r="I130" s="2">
        <v>3.97</v>
      </c>
      <c r="J130">
        <v>35</v>
      </c>
      <c r="K130" s="12">
        <v>36.834109370013969</v>
      </c>
    </row>
    <row r="131" spans="1:11" x14ac:dyDescent="0.3">
      <c r="A131">
        <v>1</v>
      </c>
      <c r="B131" t="s">
        <v>34</v>
      </c>
      <c r="C131">
        <v>4</v>
      </c>
      <c r="D131" s="1">
        <v>25</v>
      </c>
      <c r="E131" s="1">
        <f t="shared" si="2"/>
        <v>30.000000000000004</v>
      </c>
      <c r="F131">
        <v>0.14000000000000001</v>
      </c>
      <c r="G131">
        <v>158</v>
      </c>
      <c r="H131">
        <v>0.36</v>
      </c>
      <c r="I131" s="2">
        <v>3.99</v>
      </c>
      <c r="J131">
        <v>35</v>
      </c>
      <c r="K131" s="12">
        <v>33.003424217682792</v>
      </c>
    </row>
    <row r="132" spans="1:11" x14ac:dyDescent="0.3">
      <c r="A132">
        <v>2</v>
      </c>
      <c r="B132" t="s">
        <v>34</v>
      </c>
      <c r="C132">
        <v>1</v>
      </c>
      <c r="D132" s="1">
        <v>35</v>
      </c>
      <c r="E132" s="1">
        <f t="shared" si="2"/>
        <v>36.271198438138953</v>
      </c>
      <c r="F132">
        <v>0.16</v>
      </c>
      <c r="G132">
        <v>186</v>
      </c>
      <c r="H132">
        <v>0.54</v>
      </c>
      <c r="I132" s="2">
        <v>3.99</v>
      </c>
      <c r="J132">
        <v>35</v>
      </c>
      <c r="K132" s="12">
        <v>40.758362503175803</v>
      </c>
    </row>
    <row r="133" spans="1:11" x14ac:dyDescent="0.3">
      <c r="A133">
        <v>2</v>
      </c>
      <c r="B133" t="s">
        <v>34</v>
      </c>
      <c r="C133">
        <v>2</v>
      </c>
      <c r="D133" s="1">
        <v>40</v>
      </c>
      <c r="E133" s="1">
        <f t="shared" si="2"/>
        <v>39.231520483592263</v>
      </c>
      <c r="F133">
        <v>0.49</v>
      </c>
      <c r="G133">
        <v>172</v>
      </c>
      <c r="H133">
        <v>0.65</v>
      </c>
      <c r="I133" s="2">
        <v>3.52</v>
      </c>
      <c r="J133">
        <v>35</v>
      </c>
      <c r="K133" s="12">
        <v>39.194287738482608</v>
      </c>
    </row>
    <row r="134" spans="1:11" x14ac:dyDescent="0.3">
      <c r="A134">
        <v>2</v>
      </c>
      <c r="B134" t="s">
        <v>34</v>
      </c>
      <c r="C134">
        <v>3</v>
      </c>
      <c r="D134" s="1">
        <v>10</v>
      </c>
      <c r="E134" s="1">
        <f t="shared" si="2"/>
        <v>18.434948822922014</v>
      </c>
      <c r="F134">
        <v>0.15</v>
      </c>
      <c r="G134">
        <v>179</v>
      </c>
      <c r="H134">
        <v>0.45</v>
      </c>
      <c r="I134" s="2">
        <v>3.85</v>
      </c>
      <c r="J134">
        <v>35</v>
      </c>
      <c r="K134" s="12">
        <v>22.75113516471264</v>
      </c>
    </row>
    <row r="135" spans="1:11" x14ac:dyDescent="0.3">
      <c r="A135">
        <v>2</v>
      </c>
      <c r="B135" t="s">
        <v>34</v>
      </c>
      <c r="C135">
        <v>4</v>
      </c>
      <c r="D135" s="1">
        <v>30</v>
      </c>
      <c r="E135" s="1">
        <f t="shared" si="2"/>
        <v>33.210910760899083</v>
      </c>
      <c r="F135">
        <v>0.21</v>
      </c>
      <c r="G135">
        <v>185</v>
      </c>
      <c r="H135">
        <v>0.68</v>
      </c>
      <c r="I135" s="2">
        <v>3.73</v>
      </c>
      <c r="J135">
        <v>35</v>
      </c>
      <c r="K135" s="12">
        <v>36.680762934009387</v>
      </c>
    </row>
    <row r="136" spans="1:11" x14ac:dyDescent="0.3">
      <c r="A136">
        <v>3</v>
      </c>
      <c r="B136" t="s">
        <v>34</v>
      </c>
      <c r="C136">
        <v>1</v>
      </c>
      <c r="D136" s="1">
        <v>38.333333333333343</v>
      </c>
      <c r="E136" s="1">
        <f t="shared" si="2"/>
        <v>38.25330058922416</v>
      </c>
      <c r="F136">
        <v>0.77</v>
      </c>
      <c r="G136">
        <v>147.5</v>
      </c>
      <c r="H136">
        <v>0.88</v>
      </c>
      <c r="I136" s="2">
        <v>3.59</v>
      </c>
      <c r="J136">
        <v>23.75</v>
      </c>
      <c r="K136" s="12">
        <v>36.462708090031427</v>
      </c>
    </row>
    <row r="137" spans="1:11" x14ac:dyDescent="0.3">
      <c r="A137">
        <v>3</v>
      </c>
      <c r="B137" t="s">
        <v>34</v>
      </c>
      <c r="C137">
        <v>2</v>
      </c>
      <c r="D137" s="1">
        <v>50</v>
      </c>
      <c r="E137" s="1">
        <f t="shared" si="2"/>
        <v>45.000000000000007</v>
      </c>
      <c r="F137">
        <v>0.88</v>
      </c>
      <c r="G137">
        <v>160</v>
      </c>
      <c r="H137">
        <v>0.92</v>
      </c>
      <c r="I137" s="2">
        <v>3.71</v>
      </c>
      <c r="J137">
        <v>23.75</v>
      </c>
      <c r="K137" s="12">
        <v>43.089881501617697</v>
      </c>
    </row>
    <row r="138" spans="1:11" x14ac:dyDescent="0.3">
      <c r="A138">
        <v>3</v>
      </c>
      <c r="B138" t="s">
        <v>34</v>
      </c>
      <c r="C138">
        <v>3</v>
      </c>
      <c r="D138" s="1">
        <v>46.666666666666657</v>
      </c>
      <c r="E138" s="1">
        <f t="shared" si="2"/>
        <v>43.08872313536282</v>
      </c>
      <c r="F138">
        <v>0.56999999999999995</v>
      </c>
      <c r="G138">
        <v>109.5</v>
      </c>
      <c r="H138">
        <v>0</v>
      </c>
      <c r="I138" s="2">
        <v>3.68</v>
      </c>
      <c r="J138">
        <v>23.75</v>
      </c>
      <c r="K138" s="12">
        <v>43.04015818594106</v>
      </c>
    </row>
    <row r="139" spans="1:11" x14ac:dyDescent="0.3">
      <c r="A139">
        <v>4</v>
      </c>
      <c r="B139" t="s">
        <v>34</v>
      </c>
      <c r="C139">
        <v>1</v>
      </c>
      <c r="D139" s="1">
        <v>50</v>
      </c>
      <c r="E139" s="1">
        <f t="shared" si="2"/>
        <v>45.000000000000007</v>
      </c>
      <c r="F139">
        <v>0.47</v>
      </c>
      <c r="G139">
        <v>141.9</v>
      </c>
      <c r="H139">
        <v>1.2</v>
      </c>
      <c r="I139" s="2">
        <v>4.04</v>
      </c>
      <c r="J139">
        <v>23.75</v>
      </c>
      <c r="K139" s="12">
        <v>44.386496125868902</v>
      </c>
    </row>
    <row r="140" spans="1:11" x14ac:dyDescent="0.3">
      <c r="A140">
        <v>4</v>
      </c>
      <c r="B140" t="s">
        <v>34</v>
      </c>
      <c r="C140">
        <v>2</v>
      </c>
      <c r="D140" s="1">
        <v>58.333333333333343</v>
      </c>
      <c r="E140" s="1">
        <f t="shared" si="2"/>
        <v>49.797034113430229</v>
      </c>
      <c r="F140">
        <v>0.8</v>
      </c>
      <c r="G140">
        <v>109.6</v>
      </c>
      <c r="H140">
        <v>2.16</v>
      </c>
      <c r="I140" s="2">
        <v>3.87</v>
      </c>
      <c r="J140">
        <v>23.75</v>
      </c>
      <c r="K140" s="12">
        <v>40.24974183344353</v>
      </c>
    </row>
    <row r="141" spans="1:11" x14ac:dyDescent="0.3">
      <c r="A141">
        <v>4</v>
      </c>
      <c r="B141" t="s">
        <v>34</v>
      </c>
      <c r="C141">
        <v>3</v>
      </c>
      <c r="D141" s="1">
        <v>50</v>
      </c>
      <c r="E141" s="1">
        <f t="shared" si="2"/>
        <v>45.000000000000007</v>
      </c>
      <c r="F141">
        <v>0.6</v>
      </c>
      <c r="G141">
        <v>155.30000000000001</v>
      </c>
      <c r="H141">
        <v>2.12</v>
      </c>
      <c r="I141" s="2">
        <v>3.94</v>
      </c>
      <c r="J141">
        <v>23.75</v>
      </c>
      <c r="K141" s="12">
        <v>41.138375256658662</v>
      </c>
    </row>
    <row r="142" spans="1:11" x14ac:dyDescent="0.3">
      <c r="A142">
        <v>1</v>
      </c>
      <c r="B142" t="s">
        <v>35</v>
      </c>
      <c r="C142">
        <v>1</v>
      </c>
      <c r="D142" s="1">
        <v>10</v>
      </c>
      <c r="E142" s="1">
        <f t="shared" si="2"/>
        <v>18.434948822922014</v>
      </c>
      <c r="F142">
        <v>7.0000000000000007E-2</v>
      </c>
      <c r="G142">
        <v>202</v>
      </c>
      <c r="H142">
        <v>0.37</v>
      </c>
      <c r="I142" s="2">
        <v>4.0599999999999996</v>
      </c>
      <c r="J142">
        <v>35</v>
      </c>
      <c r="K142" s="12">
        <v>25.629973271448339</v>
      </c>
    </row>
    <row r="143" spans="1:11" x14ac:dyDescent="0.3">
      <c r="A143">
        <v>1</v>
      </c>
      <c r="B143" t="s">
        <v>35</v>
      </c>
      <c r="C143">
        <v>2</v>
      </c>
      <c r="D143" s="1">
        <v>15</v>
      </c>
      <c r="E143" s="1">
        <f t="shared" si="2"/>
        <v>22.786497999597149</v>
      </c>
      <c r="F143">
        <v>0.05</v>
      </c>
      <c r="G143">
        <v>184</v>
      </c>
      <c r="H143">
        <v>0.42</v>
      </c>
      <c r="I143" s="2">
        <v>3.94</v>
      </c>
      <c r="J143">
        <v>35</v>
      </c>
      <c r="K143" s="12">
        <v>28.52405966063219</v>
      </c>
    </row>
    <row r="144" spans="1:11" x14ac:dyDescent="0.3">
      <c r="A144">
        <v>1</v>
      </c>
      <c r="B144" t="s">
        <v>35</v>
      </c>
      <c r="C144">
        <v>3</v>
      </c>
      <c r="D144" s="1">
        <v>15</v>
      </c>
      <c r="E144" s="1">
        <f t="shared" si="2"/>
        <v>22.786497999597149</v>
      </c>
      <c r="F144">
        <v>0.06</v>
      </c>
      <c r="G144">
        <v>190</v>
      </c>
      <c r="H144">
        <v>0.41</v>
      </c>
      <c r="I144" s="2">
        <v>3.67</v>
      </c>
      <c r="J144">
        <v>35</v>
      </c>
      <c r="K144" s="12">
        <v>28.956647975448458</v>
      </c>
    </row>
    <row r="145" spans="1:11" x14ac:dyDescent="0.3">
      <c r="A145">
        <v>1</v>
      </c>
      <c r="B145" t="s">
        <v>35</v>
      </c>
      <c r="C145">
        <v>4</v>
      </c>
      <c r="D145" s="1">
        <v>5</v>
      </c>
      <c r="E145" s="1">
        <f t="shared" si="2"/>
        <v>12.920966381583565</v>
      </c>
      <c r="F145">
        <v>0.05</v>
      </c>
      <c r="G145">
        <v>178</v>
      </c>
      <c r="H145">
        <v>0.44</v>
      </c>
      <c r="I145" s="2">
        <v>3.92</v>
      </c>
      <c r="J145">
        <v>35</v>
      </c>
      <c r="K145" s="12">
        <v>18.100558546780171</v>
      </c>
    </row>
    <row r="146" spans="1:11" x14ac:dyDescent="0.3">
      <c r="A146">
        <v>2</v>
      </c>
      <c r="B146" t="s">
        <v>35</v>
      </c>
      <c r="C146">
        <v>1</v>
      </c>
      <c r="D146" s="1">
        <v>40</v>
      </c>
      <c r="E146" s="1">
        <f t="shared" si="2"/>
        <v>39.231520483592263</v>
      </c>
      <c r="F146">
        <v>0.2</v>
      </c>
      <c r="G146">
        <v>158</v>
      </c>
      <c r="H146">
        <v>0.87</v>
      </c>
      <c r="I146" s="2">
        <v>3.96</v>
      </c>
      <c r="J146">
        <v>35</v>
      </c>
      <c r="K146" s="12">
        <v>39.938407824228428</v>
      </c>
    </row>
    <row r="147" spans="1:11" x14ac:dyDescent="0.3">
      <c r="A147">
        <v>2</v>
      </c>
      <c r="B147" t="s">
        <v>35</v>
      </c>
      <c r="C147">
        <v>2</v>
      </c>
      <c r="D147" s="1">
        <v>30</v>
      </c>
      <c r="E147" s="1">
        <f t="shared" si="2"/>
        <v>33.210910760899083</v>
      </c>
      <c r="F147">
        <v>0.24</v>
      </c>
      <c r="G147">
        <v>186</v>
      </c>
      <c r="H147">
        <v>0.93</v>
      </c>
      <c r="I147" s="2">
        <v>3.24</v>
      </c>
      <c r="J147">
        <v>35</v>
      </c>
      <c r="K147" s="12">
        <v>35.631208855129209</v>
      </c>
    </row>
    <row r="148" spans="1:11" x14ac:dyDescent="0.3">
      <c r="A148">
        <v>2</v>
      </c>
      <c r="B148" t="s">
        <v>35</v>
      </c>
      <c r="C148">
        <v>3</v>
      </c>
      <c r="D148" s="1">
        <v>10</v>
      </c>
      <c r="E148" s="1">
        <f t="shared" si="2"/>
        <v>18.434948822922014</v>
      </c>
      <c r="F148">
        <v>0.16</v>
      </c>
      <c r="G148">
        <v>158</v>
      </c>
      <c r="H148">
        <v>0.79</v>
      </c>
      <c r="I148" s="2">
        <v>4.12</v>
      </c>
      <c r="J148">
        <v>35</v>
      </c>
      <c r="K148" s="12">
        <v>19.780627535728069</v>
      </c>
    </row>
    <row r="149" spans="1:11" x14ac:dyDescent="0.3">
      <c r="A149">
        <v>2</v>
      </c>
      <c r="B149" t="s">
        <v>35</v>
      </c>
      <c r="C149">
        <v>4</v>
      </c>
      <c r="D149" s="1">
        <v>30</v>
      </c>
      <c r="E149" s="1">
        <f t="shared" si="2"/>
        <v>33.210910760899083</v>
      </c>
      <c r="F149">
        <v>0.22</v>
      </c>
      <c r="G149">
        <v>144</v>
      </c>
      <c r="H149">
        <v>0.88</v>
      </c>
      <c r="I149" s="2">
        <v>3.74</v>
      </c>
      <c r="J149">
        <v>35</v>
      </c>
      <c r="K149" s="12">
        <v>32.559568000649612</v>
      </c>
    </row>
    <row r="150" spans="1:11" x14ac:dyDescent="0.3">
      <c r="A150">
        <v>3</v>
      </c>
      <c r="B150" t="s">
        <v>35</v>
      </c>
      <c r="C150">
        <v>1</v>
      </c>
      <c r="D150" s="1">
        <v>18.333333333333329</v>
      </c>
      <c r="E150" s="1">
        <f t="shared" si="2"/>
        <v>25.351759880406242</v>
      </c>
      <c r="F150">
        <v>0.43</v>
      </c>
      <c r="G150">
        <v>180.1</v>
      </c>
      <c r="H150">
        <v>0</v>
      </c>
      <c r="I150" s="2">
        <v>3.6</v>
      </c>
      <c r="J150">
        <v>23.75</v>
      </c>
      <c r="K150" s="12">
        <v>32.335953818498432</v>
      </c>
    </row>
    <row r="151" spans="1:11" x14ac:dyDescent="0.3">
      <c r="A151">
        <v>3</v>
      </c>
      <c r="B151" t="s">
        <v>35</v>
      </c>
      <c r="C151">
        <v>2</v>
      </c>
      <c r="D151" s="1">
        <v>23.333333333333329</v>
      </c>
      <c r="E151" s="1">
        <f t="shared" si="2"/>
        <v>28.884523682248943</v>
      </c>
      <c r="F151">
        <v>0.44</v>
      </c>
      <c r="G151">
        <v>189.2</v>
      </c>
      <c r="H151">
        <v>0</v>
      </c>
      <c r="I151" s="2">
        <v>3.41</v>
      </c>
      <c r="J151">
        <v>23.75</v>
      </c>
      <c r="K151" s="12">
        <v>36.519812961899319</v>
      </c>
    </row>
    <row r="152" spans="1:11" x14ac:dyDescent="0.3">
      <c r="A152">
        <v>3</v>
      </c>
      <c r="B152" t="s">
        <v>35</v>
      </c>
      <c r="C152">
        <v>3</v>
      </c>
      <c r="D152" s="1">
        <v>21.666666666666671</v>
      </c>
      <c r="E152" s="1">
        <f t="shared" si="2"/>
        <v>27.740946079469374</v>
      </c>
      <c r="F152">
        <v>0.52</v>
      </c>
      <c r="G152">
        <v>210.3</v>
      </c>
      <c r="H152">
        <v>0</v>
      </c>
      <c r="I152" s="2">
        <v>3.63</v>
      </c>
      <c r="J152">
        <v>23.75</v>
      </c>
      <c r="K152" s="12">
        <v>36.368551411260547</v>
      </c>
    </row>
    <row r="153" spans="1:11" x14ac:dyDescent="0.3">
      <c r="A153">
        <v>4</v>
      </c>
      <c r="B153" t="s">
        <v>35</v>
      </c>
      <c r="C153">
        <v>1</v>
      </c>
      <c r="D153" s="1">
        <v>56.25</v>
      </c>
      <c r="E153" s="1">
        <f t="shared" si="2"/>
        <v>48.590377890729144</v>
      </c>
      <c r="F153">
        <v>0.95</v>
      </c>
      <c r="G153">
        <v>171.9</v>
      </c>
      <c r="H153">
        <v>0</v>
      </c>
      <c r="I153" s="2">
        <v>3.86</v>
      </c>
      <c r="J153">
        <v>23.75</v>
      </c>
      <c r="K153" s="12">
        <v>50.170457405933981</v>
      </c>
    </row>
    <row r="154" spans="1:11" x14ac:dyDescent="0.3">
      <c r="A154">
        <v>4</v>
      </c>
      <c r="B154" t="s">
        <v>35</v>
      </c>
      <c r="C154">
        <v>2</v>
      </c>
      <c r="D154" s="1">
        <v>54.54545454545454</v>
      </c>
      <c r="E154" s="1">
        <f t="shared" si="2"/>
        <v>47.607954285227066</v>
      </c>
      <c r="F154">
        <v>0.54</v>
      </c>
      <c r="G154">
        <v>153.30000000000001</v>
      </c>
      <c r="H154">
        <v>0</v>
      </c>
      <c r="I154" s="2">
        <v>3.91</v>
      </c>
      <c r="J154">
        <v>23.75</v>
      </c>
      <c r="K154" s="12">
        <v>51.404736946935081</v>
      </c>
    </row>
    <row r="155" spans="1:11" x14ac:dyDescent="0.3">
      <c r="A155">
        <v>4</v>
      </c>
      <c r="B155" t="s">
        <v>35</v>
      </c>
      <c r="C155">
        <v>3</v>
      </c>
      <c r="D155" s="1">
        <v>50</v>
      </c>
      <c r="E155" s="1">
        <f t="shared" si="2"/>
        <v>45.000000000000007</v>
      </c>
      <c r="F155">
        <v>0.34</v>
      </c>
      <c r="G155">
        <v>188.1</v>
      </c>
      <c r="H155">
        <v>0</v>
      </c>
      <c r="I155" s="2">
        <v>3.89</v>
      </c>
      <c r="J155">
        <v>23.75</v>
      </c>
      <c r="K155" s="12">
        <v>53.456222838172764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I22" sqref="I22"/>
    </sheetView>
  </sheetViews>
  <sheetFormatPr defaultColWidth="11.5546875" defaultRowHeight="14.4" x14ac:dyDescent="0.3"/>
  <cols>
    <col min="2" max="2" width="22.5546875" customWidth="1"/>
    <col min="6" max="6" width="11.5546875" customWidth="1"/>
    <col min="9" max="9" width="17.88671875" customWidth="1"/>
  </cols>
  <sheetData>
    <row r="1" spans="1:12" x14ac:dyDescent="0.3">
      <c r="A1" s="6" t="s">
        <v>6</v>
      </c>
      <c r="B1" s="6" t="s">
        <v>5</v>
      </c>
      <c r="C1" s="6" t="s">
        <v>20</v>
      </c>
      <c r="D1" s="6" t="s">
        <v>21</v>
      </c>
      <c r="E1" s="6" t="s">
        <v>22</v>
      </c>
      <c r="F1" s="6" t="s">
        <v>24</v>
      </c>
      <c r="G1" s="6"/>
    </row>
    <row r="2" spans="1:12" x14ac:dyDescent="0.3">
      <c r="A2" s="6">
        <v>1</v>
      </c>
      <c r="B2" s="6" t="s">
        <v>36</v>
      </c>
      <c r="C2" s="6">
        <v>0.05</v>
      </c>
      <c r="D2" s="6">
        <v>19.600000000000001</v>
      </c>
      <c r="E2" s="6">
        <v>0.15</v>
      </c>
      <c r="F2" s="6">
        <v>25</v>
      </c>
      <c r="G2" s="7"/>
      <c r="H2" s="7"/>
      <c r="I2" s="7"/>
      <c r="J2" s="7"/>
      <c r="K2" s="7"/>
      <c r="L2" s="7"/>
    </row>
    <row r="3" spans="1:12" x14ac:dyDescent="0.3">
      <c r="A3" s="6">
        <v>1</v>
      </c>
      <c r="B3" s="6" t="s">
        <v>36</v>
      </c>
      <c r="C3" s="6">
        <v>0.05</v>
      </c>
      <c r="D3" s="6">
        <v>20.2</v>
      </c>
      <c r="E3" s="6">
        <v>0.03</v>
      </c>
      <c r="F3" s="6">
        <v>25</v>
      </c>
      <c r="G3" s="7"/>
      <c r="H3" s="7"/>
      <c r="I3" s="7"/>
      <c r="J3" s="7"/>
      <c r="K3" s="7"/>
      <c r="L3" s="7"/>
    </row>
    <row r="4" spans="1:12" x14ac:dyDescent="0.3">
      <c r="A4" s="6">
        <v>1</v>
      </c>
      <c r="B4" s="6" t="s">
        <v>37</v>
      </c>
      <c r="C4" s="6">
        <v>0.05</v>
      </c>
      <c r="D4" s="6">
        <v>18.8</v>
      </c>
      <c r="E4" s="6">
        <v>0.04</v>
      </c>
      <c r="F4" s="6">
        <v>25</v>
      </c>
      <c r="G4" s="7"/>
      <c r="H4" s="7"/>
      <c r="I4" s="7"/>
      <c r="J4" s="7"/>
      <c r="K4" s="7"/>
      <c r="L4" s="7"/>
    </row>
    <row r="5" spans="1:12" x14ac:dyDescent="0.3">
      <c r="A5" s="6">
        <v>1</v>
      </c>
      <c r="B5" s="6" t="s">
        <v>37</v>
      </c>
      <c r="C5" s="6">
        <v>0.05</v>
      </c>
      <c r="D5" s="6">
        <v>20.2</v>
      </c>
      <c r="E5" s="6">
        <v>0.04</v>
      </c>
      <c r="F5" s="6">
        <v>25</v>
      </c>
      <c r="G5" s="7"/>
      <c r="H5" s="7"/>
      <c r="I5" s="7"/>
      <c r="J5" s="7"/>
      <c r="K5" s="7"/>
      <c r="L5" s="7"/>
    </row>
    <row r="6" spans="1:12" x14ac:dyDescent="0.3">
      <c r="A6" s="6">
        <v>2</v>
      </c>
      <c r="B6" s="6" t="s">
        <v>36</v>
      </c>
      <c r="C6" s="6">
        <v>0.05</v>
      </c>
      <c r="D6" s="6">
        <v>18</v>
      </c>
      <c r="E6" s="6">
        <v>0.19</v>
      </c>
      <c r="F6" s="6">
        <v>25</v>
      </c>
      <c r="G6" s="7"/>
      <c r="H6" s="7"/>
      <c r="I6" s="7"/>
      <c r="J6" s="7"/>
      <c r="K6" s="7"/>
      <c r="L6" s="7"/>
    </row>
    <row r="7" spans="1:12" x14ac:dyDescent="0.3">
      <c r="A7" s="6">
        <v>2</v>
      </c>
      <c r="B7" s="6" t="s">
        <v>36</v>
      </c>
      <c r="C7" s="6">
        <v>0.05</v>
      </c>
      <c r="D7" s="6">
        <v>17.399999999999999</v>
      </c>
      <c r="E7" s="6">
        <v>0.21</v>
      </c>
      <c r="F7" s="6">
        <v>25</v>
      </c>
      <c r="G7" s="7"/>
      <c r="H7" s="3"/>
      <c r="I7" s="15"/>
      <c r="J7" s="16" t="s">
        <v>38</v>
      </c>
      <c r="K7" s="16" t="s">
        <v>39</v>
      </c>
      <c r="L7" s="16" t="s">
        <v>40</v>
      </c>
    </row>
    <row r="8" spans="1:12" x14ac:dyDescent="0.3">
      <c r="A8" s="6">
        <v>2</v>
      </c>
      <c r="B8" s="6" t="s">
        <v>37</v>
      </c>
      <c r="C8" s="6">
        <v>0.05</v>
      </c>
      <c r="D8" s="6">
        <v>14.2</v>
      </c>
      <c r="E8" s="6">
        <v>0.09</v>
      </c>
      <c r="F8" s="6">
        <v>25</v>
      </c>
      <c r="H8" s="4"/>
      <c r="I8" s="17" t="s">
        <v>41</v>
      </c>
      <c r="J8" s="18">
        <f>AVERAGE(C2:C5)</f>
        <v>0.05</v>
      </c>
      <c r="K8" s="19">
        <f>AVERAGE(D2:D5)*10</f>
        <v>197</v>
      </c>
      <c r="L8" s="18">
        <f>AVERAGE(E2:E5)</f>
        <v>6.5000000000000002E-2</v>
      </c>
    </row>
    <row r="9" spans="1:12" x14ac:dyDescent="0.3">
      <c r="A9" s="6">
        <v>2</v>
      </c>
      <c r="B9" s="6" t="s">
        <v>37</v>
      </c>
      <c r="C9" s="6">
        <v>0.05</v>
      </c>
      <c r="D9" s="6">
        <v>14.2</v>
      </c>
      <c r="E9" s="6">
        <v>0.15</v>
      </c>
      <c r="F9" s="6">
        <v>25</v>
      </c>
      <c r="H9" s="4"/>
      <c r="I9" s="17" t="s">
        <v>42</v>
      </c>
      <c r="J9" s="18">
        <f>AVERAGE(C5:C9)</f>
        <v>0.05</v>
      </c>
      <c r="K9" s="19">
        <f>AVERAGE(D5:D9)*10</f>
        <v>168</v>
      </c>
      <c r="L9" s="18">
        <f>AVERAGE(E5:E9)</f>
        <v>0.13600000000000001</v>
      </c>
    </row>
    <row r="10" spans="1:12" x14ac:dyDescent="0.3">
      <c r="A10" s="6">
        <v>3</v>
      </c>
      <c r="B10" s="6" t="s">
        <v>43</v>
      </c>
      <c r="C10" s="6">
        <v>0.37</v>
      </c>
      <c r="D10" s="6">
        <v>228.4</v>
      </c>
      <c r="E10" s="6">
        <v>0</v>
      </c>
      <c r="F10" s="6">
        <v>23.75</v>
      </c>
      <c r="I10" s="16" t="s">
        <v>44</v>
      </c>
      <c r="J10" s="20">
        <f>AVERAGE(C10:C18)</f>
        <v>0.43333333333333335</v>
      </c>
      <c r="K10" s="17">
        <f>AVERAGE(D10:D18)</f>
        <v>211.37777777777782</v>
      </c>
      <c r="L10" s="20">
        <f>AVERAGE(E10:E18)</f>
        <v>5.333333333333333E-2</v>
      </c>
    </row>
    <row r="11" spans="1:12" x14ac:dyDescent="0.3">
      <c r="A11" s="6">
        <v>3</v>
      </c>
      <c r="B11" s="6" t="s">
        <v>43</v>
      </c>
      <c r="C11" s="6">
        <v>0.41</v>
      </c>
      <c r="D11" s="6">
        <v>232.8</v>
      </c>
      <c r="E11" s="6">
        <v>0.08</v>
      </c>
      <c r="F11" s="6">
        <v>23.75</v>
      </c>
      <c r="H11" s="4"/>
      <c r="I11" s="17" t="s">
        <v>45</v>
      </c>
      <c r="J11" s="20">
        <f>AVERAGE(C19:C27)</f>
        <v>0.35555555555555557</v>
      </c>
      <c r="K11" s="17">
        <f>AVERAGE(D19:D27)</f>
        <v>195.82222222222222</v>
      </c>
      <c r="L11" s="20">
        <f>AVERAGE(E19:E27)</f>
        <v>0.43444444444444447</v>
      </c>
    </row>
    <row r="12" spans="1:12" x14ac:dyDescent="0.3">
      <c r="A12" s="6">
        <v>3</v>
      </c>
      <c r="B12" s="6" t="s">
        <v>43</v>
      </c>
      <c r="C12" s="6">
        <v>0.36</v>
      </c>
      <c r="D12" s="6">
        <v>237.1</v>
      </c>
      <c r="E12" s="6">
        <v>0</v>
      </c>
      <c r="F12" s="6">
        <v>23.75</v>
      </c>
      <c r="H12" s="4"/>
      <c r="I12" s="5"/>
      <c r="J12" s="4"/>
    </row>
    <row r="13" spans="1:12" x14ac:dyDescent="0.3">
      <c r="A13" s="6">
        <v>3</v>
      </c>
      <c r="B13" s="6" t="s">
        <v>37</v>
      </c>
      <c r="C13" s="6">
        <v>0.56000000000000005</v>
      </c>
      <c r="D13" s="6">
        <v>181.1</v>
      </c>
      <c r="E13" s="6">
        <v>0.15</v>
      </c>
      <c r="F13" s="6">
        <v>23.75</v>
      </c>
      <c r="H13" s="4"/>
      <c r="I13" s="5"/>
      <c r="J13" s="4"/>
    </row>
    <row r="14" spans="1:12" x14ac:dyDescent="0.3">
      <c r="A14" s="6">
        <v>3</v>
      </c>
      <c r="B14" s="6" t="s">
        <v>37</v>
      </c>
      <c r="C14" s="6">
        <v>0.64</v>
      </c>
      <c r="D14" s="6">
        <v>178.9</v>
      </c>
      <c r="E14" s="6">
        <v>0.19</v>
      </c>
      <c r="F14" s="6">
        <v>23.75</v>
      </c>
      <c r="H14" s="4"/>
      <c r="I14" s="5"/>
      <c r="J14" s="4"/>
    </row>
    <row r="15" spans="1:12" x14ac:dyDescent="0.3">
      <c r="A15" s="6">
        <v>3</v>
      </c>
      <c r="B15" s="6" t="s">
        <v>37</v>
      </c>
      <c r="C15" s="6">
        <v>0.55000000000000004</v>
      </c>
      <c r="D15" s="6">
        <v>180.4</v>
      </c>
      <c r="E15" s="6">
        <v>0.06</v>
      </c>
      <c r="F15" s="6">
        <v>23.75</v>
      </c>
      <c r="H15" s="4"/>
      <c r="I15" s="5"/>
      <c r="J15" s="4"/>
    </row>
    <row r="16" spans="1:12" x14ac:dyDescent="0.3">
      <c r="A16" s="6">
        <v>3</v>
      </c>
      <c r="B16" s="6" t="s">
        <v>36</v>
      </c>
      <c r="C16" s="6">
        <v>0.3</v>
      </c>
      <c r="D16" s="6">
        <v>221.4</v>
      </c>
      <c r="E16" s="6">
        <v>0</v>
      </c>
      <c r="F16" s="6">
        <v>23.75</v>
      </c>
      <c r="H16" s="4"/>
      <c r="I16" s="5"/>
      <c r="J16" s="4"/>
    </row>
    <row r="17" spans="1:10" x14ac:dyDescent="0.3">
      <c r="A17" s="6">
        <v>3</v>
      </c>
      <c r="B17" s="6" t="s">
        <v>36</v>
      </c>
      <c r="C17" s="6">
        <v>0.27</v>
      </c>
      <c r="D17" s="6">
        <v>222.2</v>
      </c>
      <c r="E17" s="6">
        <v>0</v>
      </c>
      <c r="F17" s="6">
        <v>23.75</v>
      </c>
      <c r="H17" s="4"/>
      <c r="I17" s="5"/>
      <c r="J17" s="4"/>
    </row>
    <row r="18" spans="1:10" x14ac:dyDescent="0.3">
      <c r="A18" s="6">
        <v>3</v>
      </c>
      <c r="B18" s="6" t="s">
        <v>36</v>
      </c>
      <c r="C18" s="6">
        <v>0.44</v>
      </c>
      <c r="D18" s="6">
        <v>220.1</v>
      </c>
      <c r="E18" s="6">
        <v>0</v>
      </c>
      <c r="F18" s="6">
        <v>23.75</v>
      </c>
      <c r="H18" s="4"/>
      <c r="I18" s="5"/>
      <c r="J18" s="4"/>
    </row>
    <row r="19" spans="1:10" x14ac:dyDescent="0.3">
      <c r="A19" s="6">
        <v>4</v>
      </c>
      <c r="B19" s="6" t="s">
        <v>43</v>
      </c>
      <c r="C19" s="6">
        <v>0.35</v>
      </c>
      <c r="D19" s="6">
        <v>204.6</v>
      </c>
      <c r="E19" s="6">
        <v>7.0000000000000007E-2</v>
      </c>
      <c r="F19" s="6">
        <v>23.75</v>
      </c>
    </row>
    <row r="20" spans="1:10" x14ac:dyDescent="0.3">
      <c r="A20" s="6">
        <v>4</v>
      </c>
      <c r="B20" s="6" t="s">
        <v>43</v>
      </c>
      <c r="C20" s="6">
        <v>0.34</v>
      </c>
      <c r="D20" s="6">
        <v>221.7</v>
      </c>
      <c r="E20" s="6">
        <v>0.05</v>
      </c>
      <c r="F20" s="6">
        <v>23.75</v>
      </c>
    </row>
    <row r="21" spans="1:10" x14ac:dyDescent="0.3">
      <c r="A21" s="6">
        <v>4</v>
      </c>
      <c r="B21" s="6" t="s">
        <v>43</v>
      </c>
      <c r="C21" s="6">
        <v>0.43</v>
      </c>
      <c r="D21" s="6">
        <v>203.8</v>
      </c>
      <c r="E21" s="6">
        <v>0</v>
      </c>
      <c r="F21" s="6">
        <v>23.75</v>
      </c>
    </row>
    <row r="22" spans="1:10" x14ac:dyDescent="0.3">
      <c r="A22" s="6">
        <v>4</v>
      </c>
      <c r="B22" s="6" t="s">
        <v>37</v>
      </c>
      <c r="C22" s="6">
        <v>0.41</v>
      </c>
      <c r="D22" s="6">
        <v>202.2</v>
      </c>
      <c r="E22" s="6">
        <v>0.44</v>
      </c>
      <c r="F22" s="6">
        <v>23.75</v>
      </c>
    </row>
    <row r="23" spans="1:10" x14ac:dyDescent="0.3">
      <c r="A23" s="6">
        <v>4</v>
      </c>
      <c r="B23" s="6" t="s">
        <v>37</v>
      </c>
      <c r="C23" s="6">
        <v>0.37</v>
      </c>
      <c r="D23" s="6">
        <v>203.7</v>
      </c>
      <c r="E23" s="6">
        <v>0.83</v>
      </c>
      <c r="F23" s="6">
        <v>23.75</v>
      </c>
    </row>
    <row r="24" spans="1:10" x14ac:dyDescent="0.3">
      <c r="A24" s="6">
        <v>4</v>
      </c>
      <c r="B24" s="6" t="s">
        <v>37</v>
      </c>
      <c r="C24" s="6">
        <v>0.33</v>
      </c>
      <c r="D24" s="6">
        <v>190.4</v>
      </c>
      <c r="E24" s="6">
        <v>0.7</v>
      </c>
      <c r="F24" s="6">
        <v>23.75</v>
      </c>
    </row>
    <row r="25" spans="1:10" x14ac:dyDescent="0.3">
      <c r="A25" s="6">
        <v>4</v>
      </c>
      <c r="B25" s="6" t="s">
        <v>36</v>
      </c>
      <c r="C25" s="6">
        <v>0.26</v>
      </c>
      <c r="D25" s="6">
        <v>183.5</v>
      </c>
      <c r="E25" s="6">
        <v>1.08</v>
      </c>
      <c r="F25" s="6">
        <v>23.75</v>
      </c>
    </row>
    <row r="26" spans="1:10" x14ac:dyDescent="0.3">
      <c r="A26" s="6">
        <v>4</v>
      </c>
      <c r="B26" s="6" t="s">
        <v>36</v>
      </c>
      <c r="C26" s="6">
        <v>0.37</v>
      </c>
      <c r="D26" s="6">
        <v>176.5</v>
      </c>
      <c r="E26" s="6">
        <v>0.35</v>
      </c>
      <c r="F26" s="6">
        <v>23.75</v>
      </c>
    </row>
    <row r="27" spans="1:10" x14ac:dyDescent="0.3">
      <c r="A27" s="6">
        <v>4</v>
      </c>
      <c r="B27" s="6" t="s">
        <v>36</v>
      </c>
      <c r="C27" s="6">
        <v>0.34</v>
      </c>
      <c r="D27" s="6">
        <v>176</v>
      </c>
      <c r="E27" s="6">
        <v>0.39</v>
      </c>
      <c r="F27" s="6">
        <v>23.75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7"/>
  <sheetViews>
    <sheetView workbookViewId="0">
      <selection activeCell="G10" sqref="G10"/>
    </sheetView>
  </sheetViews>
  <sheetFormatPr defaultColWidth="11.5546875" defaultRowHeight="14.4" x14ac:dyDescent="0.3"/>
  <cols>
    <col min="1" max="1" width="9.88671875" customWidth="1"/>
    <col min="7" max="7" width="16" customWidth="1"/>
  </cols>
  <sheetData>
    <row r="2" spans="1:7" ht="15.6" customHeight="1" x14ac:dyDescent="0.3">
      <c r="A2" s="9" t="s">
        <v>13</v>
      </c>
    </row>
    <row r="4" spans="1:7" x14ac:dyDescent="0.3">
      <c r="A4" s="8"/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12</v>
      </c>
    </row>
    <row r="5" spans="1:7" x14ac:dyDescent="0.3">
      <c r="A5" t="s">
        <v>5</v>
      </c>
      <c r="B5">
        <v>10</v>
      </c>
      <c r="C5">
        <v>7802.7834502427586</v>
      </c>
      <c r="D5">
        <v>780.27834502427595</v>
      </c>
      <c r="E5">
        <v>10.993781357551351</v>
      </c>
      <c r="F5">
        <v>1.8079283377776739E-13</v>
      </c>
      <c r="G5" s="1">
        <f>(C5/SUM(C$5:C$7))*100</f>
        <v>31.426222395151903</v>
      </c>
    </row>
    <row r="6" spans="1:7" x14ac:dyDescent="0.3">
      <c r="A6" t="s">
        <v>6</v>
      </c>
      <c r="B6">
        <v>1</v>
      </c>
      <c r="C6">
        <v>3497.768614297886</v>
      </c>
      <c r="D6">
        <v>3497.768614297886</v>
      </c>
      <c r="E6">
        <v>49.282033302743962</v>
      </c>
      <c r="F6">
        <v>1.051569586837076E-10</v>
      </c>
      <c r="G6" s="1">
        <f>(C6/SUM(C$4:C$7))*100</f>
        <v>14.087492631400378</v>
      </c>
    </row>
    <row r="7" spans="1:7" x14ac:dyDescent="0.3">
      <c r="A7" t="s">
        <v>7</v>
      </c>
      <c r="B7">
        <v>10</v>
      </c>
      <c r="C7">
        <v>13528.34194674366</v>
      </c>
      <c r="D7">
        <v>1352.834194674366</v>
      </c>
      <c r="E7">
        <v>19.0608434081383</v>
      </c>
      <c r="F7">
        <v>2.8287780281857679E-21</v>
      </c>
      <c r="G7" s="1">
        <f>(C7/SUM(C$4:C$7))*100</f>
        <v>54.486284973447717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2"/>
  <sheetViews>
    <sheetView workbookViewId="0">
      <selection activeCell="A14" sqref="A14"/>
    </sheetView>
  </sheetViews>
  <sheetFormatPr defaultColWidth="11.5546875" defaultRowHeight="14.4" x14ac:dyDescent="0.3"/>
  <cols>
    <col min="1" max="1" width="16.21875" customWidth="1"/>
    <col min="3" max="4" width="11.5546875" customWidth="1"/>
    <col min="5" max="5" width="10.5546875" customWidth="1"/>
    <col min="6" max="6" width="12" customWidth="1"/>
    <col min="7" max="7" width="16" customWidth="1"/>
  </cols>
  <sheetData>
    <row r="2" spans="1:7" ht="15.6" customHeight="1" x14ac:dyDescent="0.3">
      <c r="A2" s="9" t="s">
        <v>14</v>
      </c>
    </row>
    <row r="3" spans="1:7" ht="15.6" customHeight="1" x14ac:dyDescent="0.3">
      <c r="A3" s="9"/>
    </row>
    <row r="4" spans="1:7" x14ac:dyDescent="0.3">
      <c r="A4" s="8"/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12</v>
      </c>
    </row>
    <row r="5" spans="1:7" x14ac:dyDescent="0.3">
      <c r="A5" t="s">
        <v>5</v>
      </c>
      <c r="B5">
        <v>10</v>
      </c>
      <c r="C5" s="1">
        <v>7802.7834502427586</v>
      </c>
      <c r="D5" s="1">
        <v>780.27834502427595</v>
      </c>
      <c r="E5" s="1">
        <v>13.23387424010847</v>
      </c>
      <c r="F5" s="10">
        <v>9.803603815095202E-16</v>
      </c>
      <c r="G5" s="1">
        <f t="shared" ref="G5:G10" si="0">(C5/SUM(C$5:C$10))*100</f>
        <v>29.343036786761235</v>
      </c>
    </row>
    <row r="6" spans="1:7" x14ac:dyDescent="0.3">
      <c r="A6" t="s">
        <v>6</v>
      </c>
      <c r="B6">
        <v>1</v>
      </c>
      <c r="C6" s="1">
        <v>3497.768614297886</v>
      </c>
      <c r="D6" s="1">
        <v>3497.768614297886</v>
      </c>
      <c r="E6" s="1">
        <v>59.323740377770633</v>
      </c>
      <c r="F6" s="10">
        <v>3.1000226288251629E-12</v>
      </c>
      <c r="G6" s="1">
        <f t="shared" si="0"/>
        <v>13.153659046853155</v>
      </c>
    </row>
    <row r="7" spans="1:7" x14ac:dyDescent="0.3">
      <c r="A7" t="s">
        <v>8</v>
      </c>
      <c r="B7">
        <v>1</v>
      </c>
      <c r="C7" s="1">
        <v>6978.4036522100268</v>
      </c>
      <c r="D7" s="1">
        <v>6978.4036522100268</v>
      </c>
      <c r="E7" s="1">
        <v>118.3568875375978</v>
      </c>
      <c r="F7" s="10">
        <v>5.8339714920428849E-20</v>
      </c>
      <c r="G7" s="1">
        <f t="shared" si="0"/>
        <v>26.242885809332194</v>
      </c>
    </row>
    <row r="8" spans="1:7" x14ac:dyDescent="0.3">
      <c r="A8" t="s">
        <v>9</v>
      </c>
      <c r="B8">
        <v>1</v>
      </c>
      <c r="C8" s="1">
        <v>143.1231294254394</v>
      </c>
      <c r="D8" s="1">
        <v>143.1231294254394</v>
      </c>
      <c r="E8" s="1">
        <v>2.4274331176115158</v>
      </c>
      <c r="F8" s="10">
        <v>0.1216779792692511</v>
      </c>
      <c r="G8" s="1">
        <f t="shared" si="0"/>
        <v>0.53822681079742107</v>
      </c>
    </row>
    <row r="9" spans="1:7" x14ac:dyDescent="0.3">
      <c r="A9" t="s">
        <v>10</v>
      </c>
      <c r="B9">
        <v>1</v>
      </c>
      <c r="C9" s="1">
        <v>654.61248420039408</v>
      </c>
      <c r="D9" s="1">
        <v>654.61248420039408</v>
      </c>
      <c r="E9" s="1">
        <v>11.10252430707081</v>
      </c>
      <c r="F9" s="10">
        <v>1.125026407777901E-3</v>
      </c>
      <c r="G9" s="1">
        <f t="shared" si="0"/>
        <v>2.4617264246091204</v>
      </c>
    </row>
    <row r="10" spans="1:7" x14ac:dyDescent="0.3">
      <c r="A10" t="s">
        <v>11</v>
      </c>
      <c r="B10">
        <v>10</v>
      </c>
      <c r="C10" s="1">
        <v>7514.9103056312479</v>
      </c>
      <c r="D10" s="1">
        <v>751.49103056312481</v>
      </c>
      <c r="E10" s="1">
        <v>12.74562834462937</v>
      </c>
      <c r="F10" s="10">
        <v>3.0771396758273441E-15</v>
      </c>
      <c r="G10" s="1">
        <f t="shared" si="0"/>
        <v>28.26046512164686</v>
      </c>
    </row>
    <row r="13" spans="1:7" ht="15.6" x14ac:dyDescent="0.3">
      <c r="A13" s="9" t="s">
        <v>47</v>
      </c>
    </row>
    <row r="15" spans="1:7" x14ac:dyDescent="0.3">
      <c r="B15" s="11" t="s">
        <v>0</v>
      </c>
      <c r="C15" s="11" t="s">
        <v>1</v>
      </c>
      <c r="D15" s="11" t="s">
        <v>2</v>
      </c>
      <c r="E15" s="11" t="s">
        <v>3</v>
      </c>
      <c r="F15" s="11" t="s">
        <v>4</v>
      </c>
      <c r="G15" s="8" t="s">
        <v>12</v>
      </c>
    </row>
    <row r="16" spans="1:7" x14ac:dyDescent="0.3">
      <c r="A16" t="s">
        <v>5</v>
      </c>
      <c r="B16">
        <v>10</v>
      </c>
      <c r="C16" s="12">
        <v>7802.7834502427604</v>
      </c>
      <c r="D16" s="12">
        <v>780.27834502427595</v>
      </c>
      <c r="E16" s="12">
        <v>20.596517704541199</v>
      </c>
      <c r="F16" s="13">
        <v>9.2275859209624105E-21</v>
      </c>
      <c r="G16" s="1">
        <f>(C16/SUM(C$16:C$22))*100</f>
        <v>25.885078783192949</v>
      </c>
    </row>
    <row r="17" spans="1:7" x14ac:dyDescent="0.3">
      <c r="A17" t="s">
        <v>6</v>
      </c>
      <c r="B17">
        <v>3</v>
      </c>
      <c r="C17" s="12">
        <v>5112.97326759101</v>
      </c>
      <c r="D17" s="12">
        <v>1704.3244225303399</v>
      </c>
      <c r="E17" s="12">
        <v>44.987982002545401</v>
      </c>
      <c r="F17" s="13">
        <v>6.8768271002062798E-19</v>
      </c>
      <c r="G17" s="1">
        <f t="shared" ref="G17:G22" si="1">(C17/SUM(C$16:C$22))*100</f>
        <v>16.961859404650671</v>
      </c>
    </row>
    <row r="18" spans="1:7" x14ac:dyDescent="0.3">
      <c r="A18" t="s">
        <v>8</v>
      </c>
      <c r="B18">
        <v>1</v>
      </c>
      <c r="C18" s="12">
        <v>6433.6821094793004</v>
      </c>
      <c r="D18" s="12">
        <v>6433.6821094793004</v>
      </c>
      <c r="E18" s="12">
        <v>169.82586831774501</v>
      </c>
      <c r="F18" s="13">
        <v>8.0137224470641193E-24</v>
      </c>
      <c r="G18" s="1">
        <f t="shared" si="1"/>
        <v>21.343200068522904</v>
      </c>
    </row>
    <row r="19" spans="1:7" x14ac:dyDescent="0.3">
      <c r="A19" t="s">
        <v>9</v>
      </c>
      <c r="B19">
        <v>1</v>
      </c>
      <c r="C19" s="12">
        <v>239.375984382589</v>
      </c>
      <c r="D19" s="12">
        <v>239.375984382589</v>
      </c>
      <c r="E19" s="12">
        <v>6.3186576070166103</v>
      </c>
      <c r="F19" s="13">
        <v>1.3437035785417E-2</v>
      </c>
      <c r="G19" s="1">
        <f t="shared" si="1"/>
        <v>0.79410972431317473</v>
      </c>
    </row>
    <row r="20" spans="1:7" x14ac:dyDescent="0.3">
      <c r="A20" t="s">
        <v>10</v>
      </c>
      <c r="B20">
        <v>1</v>
      </c>
      <c r="C20" s="12">
        <v>581.54465815439596</v>
      </c>
      <c r="D20" s="12">
        <v>581.54465815439596</v>
      </c>
      <c r="E20" s="12">
        <v>15.350669314404399</v>
      </c>
      <c r="F20" s="13">
        <v>1.57650827686209E-4</v>
      </c>
      <c r="G20" s="1">
        <f t="shared" si="1"/>
        <v>1.9292255626808676</v>
      </c>
    </row>
    <row r="21" spans="1:7" x14ac:dyDescent="0.3">
      <c r="A21" t="s">
        <v>46</v>
      </c>
      <c r="B21">
        <v>1</v>
      </c>
      <c r="C21" s="12">
        <v>851.80501559083802</v>
      </c>
      <c r="D21" s="12">
        <v>851.80501559083802</v>
      </c>
      <c r="E21" s="12">
        <v>22.484562331263799</v>
      </c>
      <c r="F21" s="13">
        <v>6.56909936267726E-6</v>
      </c>
      <c r="G21" s="1">
        <f t="shared" si="1"/>
        <v>2.825791600791093</v>
      </c>
    </row>
    <row r="22" spans="1:7" x14ac:dyDescent="0.3">
      <c r="A22" t="s">
        <v>11</v>
      </c>
      <c r="B22">
        <v>29</v>
      </c>
      <c r="C22" s="12">
        <v>9121.7787321824908</v>
      </c>
      <c r="D22" s="12">
        <v>314.544094213189</v>
      </c>
      <c r="E22" s="12">
        <v>8.30282302031498</v>
      </c>
      <c r="F22" s="13">
        <v>1.61739406281336E-16</v>
      </c>
      <c r="G22" s="1">
        <f t="shared" si="1"/>
        <v>30.260734855848337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0"/>
  <sheetViews>
    <sheetView workbookViewId="0">
      <selection activeCell="A7" sqref="A7"/>
    </sheetView>
  </sheetViews>
  <sheetFormatPr defaultColWidth="11.5546875" defaultRowHeight="14.4" x14ac:dyDescent="0.3"/>
  <cols>
    <col min="1" max="1" width="12.5546875" customWidth="1"/>
    <col min="7" max="7" width="16" customWidth="1"/>
  </cols>
  <sheetData>
    <row r="2" spans="1:7" ht="15.6" x14ac:dyDescent="0.3">
      <c r="A2" s="9" t="s">
        <v>16</v>
      </c>
    </row>
    <row r="3" spans="1:7" ht="15.6" x14ac:dyDescent="0.3">
      <c r="A3" s="9" t="s">
        <v>48</v>
      </c>
    </row>
    <row r="4" spans="1:7" ht="15.6" x14ac:dyDescent="0.3">
      <c r="A4" s="9"/>
    </row>
    <row r="5" spans="1:7" ht="15.6" x14ac:dyDescent="0.3">
      <c r="A5" s="14" t="s">
        <v>15</v>
      </c>
    </row>
    <row r="7" spans="1:7" x14ac:dyDescent="0.3">
      <c r="B7" s="8" t="s">
        <v>0</v>
      </c>
      <c r="C7" s="8" t="s">
        <v>1</v>
      </c>
      <c r="D7" s="8" t="s">
        <v>2</v>
      </c>
      <c r="E7" s="8" t="s">
        <v>3</v>
      </c>
      <c r="F7" s="8" t="s">
        <v>4</v>
      </c>
      <c r="G7" s="8" t="s">
        <v>12</v>
      </c>
    </row>
    <row r="8" spans="1:7" x14ac:dyDescent="0.3">
      <c r="A8" t="s">
        <v>5</v>
      </c>
      <c r="B8">
        <v>10</v>
      </c>
      <c r="C8">
        <v>3085.4322162543572</v>
      </c>
      <c r="D8">
        <v>308.54322162543559</v>
      </c>
      <c r="E8">
        <v>4.9843380057057907</v>
      </c>
      <c r="F8">
        <v>4.008377609037084E-6</v>
      </c>
      <c r="G8" s="1">
        <f>(C8/SUM(C$8:C$10))*100</f>
        <v>29.077127718238525</v>
      </c>
    </row>
    <row r="9" spans="1:7" x14ac:dyDescent="0.3">
      <c r="A9" t="s">
        <v>6</v>
      </c>
      <c r="B9">
        <v>1</v>
      </c>
      <c r="C9">
        <v>241.96018810762311</v>
      </c>
      <c r="D9">
        <v>241.96018810762311</v>
      </c>
      <c r="E9">
        <v>3.9087274551006601</v>
      </c>
      <c r="F9">
        <v>5.0119819115762979E-2</v>
      </c>
      <c r="G9" s="1">
        <f t="shared" ref="G9:G10" si="0">(C9/SUM(C$8:C$13))*100</f>
        <v>2.2802339507802629</v>
      </c>
    </row>
    <row r="10" spans="1:7" x14ac:dyDescent="0.3">
      <c r="A10" t="s">
        <v>7</v>
      </c>
      <c r="B10">
        <v>10</v>
      </c>
      <c r="C10">
        <v>7283.8077325725581</v>
      </c>
      <c r="D10">
        <v>728.38077325725578</v>
      </c>
      <c r="E10">
        <v>11.76657180036465</v>
      </c>
      <c r="F10">
        <v>2.6134881071509241E-14</v>
      </c>
      <c r="G10" s="1">
        <f t="shared" si="0"/>
        <v>68.642638330981214</v>
      </c>
    </row>
    <row r="11" spans="1:7" x14ac:dyDescent="0.3">
      <c r="G11" s="1"/>
    </row>
    <row r="12" spans="1:7" ht="15.6" x14ac:dyDescent="0.3">
      <c r="A12" s="9" t="s">
        <v>49</v>
      </c>
      <c r="G12" s="1"/>
    </row>
    <row r="13" spans="1:7" ht="15.6" x14ac:dyDescent="0.3">
      <c r="A13" s="9" t="s">
        <v>48</v>
      </c>
      <c r="G13" s="1"/>
    </row>
    <row r="14" spans="1:7" ht="15.6" x14ac:dyDescent="0.3">
      <c r="A14" s="9"/>
    </row>
    <row r="15" spans="1:7" ht="15.6" x14ac:dyDescent="0.3">
      <c r="A15" s="9" t="s">
        <v>15</v>
      </c>
    </row>
    <row r="17" spans="1:7" x14ac:dyDescent="0.3">
      <c r="B17" s="11" t="s">
        <v>0</v>
      </c>
      <c r="C17" s="11" t="s">
        <v>1</v>
      </c>
      <c r="D17" s="11" t="s">
        <v>2</v>
      </c>
      <c r="E17" s="11" t="s">
        <v>3</v>
      </c>
      <c r="F17" s="11" t="s">
        <v>4</v>
      </c>
      <c r="G17" s="8" t="s">
        <v>12</v>
      </c>
    </row>
    <row r="18" spans="1:7" x14ac:dyDescent="0.3">
      <c r="A18" t="s">
        <v>5</v>
      </c>
      <c r="B18">
        <v>10</v>
      </c>
      <c r="C18" s="12">
        <v>2669.6607441403999</v>
      </c>
      <c r="D18" s="12">
        <v>266.96607441404001</v>
      </c>
      <c r="E18" s="12">
        <v>6.6229925551896001</v>
      </c>
      <c r="F18" s="13">
        <v>5.6647035076764497E-8</v>
      </c>
      <c r="G18" s="1">
        <f>(C18/SUM(C$18:C$20))*100</f>
        <v>19.33679708068496</v>
      </c>
    </row>
    <row r="19" spans="1:7" x14ac:dyDescent="0.3">
      <c r="A19" t="s">
        <v>6</v>
      </c>
      <c r="B19">
        <v>3</v>
      </c>
      <c r="C19" s="12">
        <v>1768.85469178416</v>
      </c>
      <c r="D19" s="12">
        <v>589.61823059472101</v>
      </c>
      <c r="E19" s="12">
        <v>14.6274659063104</v>
      </c>
      <c r="F19" s="13">
        <v>4.4030354260157201E-8</v>
      </c>
      <c r="G19" s="1">
        <f t="shared" ref="G19:G20" si="1">(C19/SUM(C$18:C$20))*100</f>
        <v>12.812108922574403</v>
      </c>
    </row>
    <row r="20" spans="1:7" x14ac:dyDescent="0.3">
      <c r="A20" t="s">
        <v>7</v>
      </c>
      <c r="B20">
        <v>30</v>
      </c>
      <c r="C20" s="12">
        <v>9367.6011251633008</v>
      </c>
      <c r="D20" s="12">
        <v>312.25337083877702</v>
      </c>
      <c r="E20" s="12">
        <v>7.7464964600360302</v>
      </c>
      <c r="F20" s="13">
        <v>5.8161466225064397E-16</v>
      </c>
      <c r="G20" s="1">
        <f t="shared" si="1"/>
        <v>67.851093996740644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NT_composizione_chimica</vt:lpstr>
      <vt:lpstr>ANOVA_mck</vt:lpstr>
      <vt:lpstr>ANCOVA</vt:lpstr>
      <vt:lpstr>ANOVA_ripulita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2026-02-05T13:06:28Z</dcterms:created>
  <dcterms:modified xsi:type="dcterms:W3CDTF">2026-02-05T16:05:11Z</dcterms:modified>
</cp:coreProperties>
</file>